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nk\Downloads\"/>
    </mc:Choice>
  </mc:AlternateContent>
  <xr:revisionPtr revIDLastSave="0" documentId="13_ncr:1_{FB79E970-5B1A-493A-9789-5451C8847D73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Option Payoff" sheetId="2" r:id="rId1"/>
    <sheet name="Sheet1" sheetId="1" r:id="rId2"/>
    <sheet name="Black scholes model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B7" i="3"/>
  <c r="B8" i="3" s="1"/>
  <c r="B11" i="3" s="1"/>
  <c r="B13" i="3" s="1"/>
  <c r="B10" i="3"/>
  <c r="C14" i="1"/>
  <c r="C15" i="1"/>
  <c r="C9" i="1"/>
  <c r="C10" i="1"/>
  <c r="C4" i="1"/>
  <c r="C5" i="1"/>
  <c r="B15" i="1"/>
  <c r="J6" i="1" s="1"/>
  <c r="B14" i="1"/>
  <c r="I6" i="1" s="1"/>
  <c r="B10" i="1"/>
  <c r="H6" i="1" s="1"/>
  <c r="B9" i="1"/>
  <c r="G6" i="1" s="1"/>
  <c r="B5" i="1"/>
  <c r="F6" i="1" s="1"/>
  <c r="B4" i="1"/>
  <c r="E6" i="1" s="1"/>
</calcChain>
</file>

<file path=xl/sharedStrings.xml><?xml version="1.0" encoding="utf-8"?>
<sst xmlns="http://schemas.openxmlformats.org/spreadsheetml/2006/main" count="58" uniqueCount="44">
  <si>
    <t>Call Option Payoff Patterns</t>
  </si>
  <si>
    <t xml:space="preserve">Time 0         </t>
  </si>
  <si>
    <t>Time T</t>
  </si>
  <si>
    <t>Purchase call option,
cash flow &lt; 0</t>
  </si>
  <si>
    <r>
      <t>Terminal call payoff,
Max[</t>
    </r>
    <r>
      <rPr>
        <i/>
        <sz val="10"/>
        <rFont val="Arial"/>
        <family val="2"/>
      </rPr>
      <t>S</t>
    </r>
    <r>
      <rPr>
        <i/>
        <vertAlign val="subscript"/>
        <sz val="10"/>
        <rFont val="Arial"/>
        <family val="2"/>
      </rPr>
      <t>T</t>
    </r>
    <r>
      <rPr>
        <i/>
        <sz val="10"/>
        <rFont val="Arial"/>
        <family val="2"/>
      </rPr>
      <t xml:space="preserve"> - X,0</t>
    </r>
    <r>
      <rPr>
        <sz val="10"/>
        <rFont val="Arial"/>
        <family val="2"/>
      </rPr>
      <t xml:space="preserve">] </t>
    </r>
    <r>
      <rPr>
        <u/>
        <sz val="10"/>
        <rFont val="Arial"/>
        <family val="2"/>
      </rPr>
      <t>&gt;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0</t>
    </r>
  </si>
  <si>
    <t>Cash flows
of call buyer</t>
  </si>
  <si>
    <r>
      <t xml:space="preserve">Between times </t>
    </r>
    <r>
      <rPr>
        <i/>
        <sz val="10"/>
        <rFont val="Arial"/>
        <family val="2"/>
      </rPr>
      <t>0</t>
    </r>
    <r>
      <rPr>
        <sz val="10"/>
        <rFont val="Arial"/>
        <family val="2"/>
      </rPr>
      <t xml:space="preserve"> and </t>
    </r>
    <r>
      <rPr>
        <i/>
        <sz val="10"/>
        <rFont val="Arial"/>
        <family val="2"/>
      </rPr>
      <t>T</t>
    </r>
    <r>
      <rPr>
        <sz val="10"/>
        <rFont val="Arial"/>
        <family val="2"/>
      </rPr>
      <t xml:space="preserve">:
Cash flow = 0 for European option
Cash flow </t>
    </r>
    <r>
      <rPr>
        <u/>
        <sz val="10"/>
        <rFont val="Arial"/>
        <family val="2"/>
      </rPr>
      <t>&gt;</t>
    </r>
    <r>
      <rPr>
        <sz val="10"/>
        <rFont val="Arial"/>
        <family val="2"/>
      </rPr>
      <t xml:space="preserve"> 0 for American option</t>
    </r>
  </si>
  <si>
    <t>Write (I.e., issue) call option,
cash flow &gt; 0</t>
  </si>
  <si>
    <r>
      <t>Pay terminal call payoff
- Max[</t>
    </r>
    <r>
      <rPr>
        <i/>
        <sz val="10"/>
        <rFont val="Arial"/>
        <family val="2"/>
      </rPr>
      <t>S</t>
    </r>
    <r>
      <rPr>
        <i/>
        <vertAlign val="subscript"/>
        <sz val="10"/>
        <rFont val="Arial"/>
        <family val="2"/>
      </rPr>
      <t>T</t>
    </r>
    <r>
      <rPr>
        <i/>
        <sz val="10"/>
        <rFont val="Arial"/>
        <family val="2"/>
      </rPr>
      <t xml:space="preserve"> - X, 0</t>
    </r>
    <r>
      <rPr>
        <sz val="10"/>
        <rFont val="Arial"/>
        <family val="2"/>
      </rPr>
      <t xml:space="preserve">]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0</t>
    </r>
  </si>
  <si>
    <t>Cash flows
of call writer</t>
  </si>
  <si>
    <r>
      <t xml:space="preserve">Between times </t>
    </r>
    <r>
      <rPr>
        <i/>
        <sz val="10"/>
        <rFont val="Arial"/>
        <family val="2"/>
      </rPr>
      <t>0</t>
    </r>
    <r>
      <rPr>
        <sz val="10"/>
        <rFont val="Arial"/>
        <family val="2"/>
      </rPr>
      <t xml:space="preserve"> and </t>
    </r>
    <r>
      <rPr>
        <i/>
        <sz val="10"/>
        <rFont val="Arial"/>
        <family val="2"/>
      </rPr>
      <t>T</t>
    </r>
    <r>
      <rPr>
        <sz val="10"/>
        <rFont val="Arial"/>
        <family val="2"/>
      </rPr>
      <t xml:space="preserve">:
Cash flow = 0 for European option
Cash flow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0 for American option</t>
    </r>
  </si>
  <si>
    <t>Put Option Payoff Patterns</t>
  </si>
  <si>
    <t>Purchase put option,
cash flow &lt; 0</t>
  </si>
  <si>
    <r>
      <t>Terminal put payoff,
Max[</t>
    </r>
    <r>
      <rPr>
        <i/>
        <sz val="10"/>
        <rFont val="Arial"/>
        <family val="2"/>
      </rPr>
      <t>X - S</t>
    </r>
    <r>
      <rPr>
        <i/>
        <vertAlign val="subscript"/>
        <sz val="10"/>
        <rFont val="Arial"/>
        <family val="2"/>
      </rPr>
      <t>T</t>
    </r>
    <r>
      <rPr>
        <sz val="10"/>
        <rFont val="Arial"/>
        <family val="2"/>
      </rPr>
      <t>,</t>
    </r>
    <r>
      <rPr>
        <i/>
        <sz val="10"/>
        <rFont val="Arial"/>
        <family val="2"/>
      </rPr>
      <t>0</t>
    </r>
    <r>
      <rPr>
        <sz val="10"/>
        <rFont val="Arial"/>
        <family val="2"/>
      </rPr>
      <t xml:space="preserve">] </t>
    </r>
    <r>
      <rPr>
        <u/>
        <sz val="10"/>
        <rFont val="Arial"/>
        <family val="2"/>
      </rPr>
      <t>&gt;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0</t>
    </r>
  </si>
  <si>
    <t>Cash flows
of put buyer</t>
  </si>
  <si>
    <r>
      <t>Pay terminal call payoff
- Max[</t>
    </r>
    <r>
      <rPr>
        <i/>
        <sz val="10"/>
        <rFont val="Arial"/>
        <family val="2"/>
      </rPr>
      <t>X - S</t>
    </r>
    <r>
      <rPr>
        <i/>
        <vertAlign val="subscript"/>
        <sz val="10"/>
        <rFont val="Arial"/>
        <family val="2"/>
      </rPr>
      <t>T</t>
    </r>
    <r>
      <rPr>
        <i/>
        <sz val="10"/>
        <rFont val="Arial"/>
        <family val="2"/>
      </rPr>
      <t>, 0</t>
    </r>
    <r>
      <rPr>
        <sz val="10"/>
        <rFont val="Arial"/>
        <family val="2"/>
      </rPr>
      <t xml:space="preserve">]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0</t>
    </r>
  </si>
  <si>
    <t>Cash flows
of put writer</t>
  </si>
  <si>
    <t>Initial stock price S0</t>
  </si>
  <si>
    <t>Terminal stock price St</t>
  </si>
  <si>
    <t>Profit from buying</t>
  </si>
  <si>
    <t>Profit from selling</t>
  </si>
  <si>
    <t>Call option exercise price</t>
  </si>
  <si>
    <t>Call price</t>
  </si>
  <si>
    <t>Profit from buying call option</t>
  </si>
  <si>
    <t>Profit from selling call option</t>
  </si>
  <si>
    <t>Put option exercise price</t>
  </si>
  <si>
    <t>Put price</t>
  </si>
  <si>
    <t>Profit from buying a put option</t>
  </si>
  <si>
    <t>Profit from writing a put option</t>
  </si>
  <si>
    <t>Stock priceS</t>
  </si>
  <si>
    <t>Exercise Price X</t>
  </si>
  <si>
    <t>Risk Free rate r</t>
  </si>
  <si>
    <t>Time to expiration T</t>
  </si>
  <si>
    <t>sigma</t>
  </si>
  <si>
    <t>1 year t-bill yield</t>
  </si>
  <si>
    <t>yahooo</t>
  </si>
  <si>
    <t>public info</t>
  </si>
  <si>
    <t>annualized std.dev = std.dev(historical monthly HPR8sqrt(12))</t>
  </si>
  <si>
    <t>d1</t>
  </si>
  <si>
    <t>d2</t>
  </si>
  <si>
    <t>n(d1)</t>
  </si>
  <si>
    <t>n(d2)</t>
  </si>
  <si>
    <t>(in terms of years)</t>
  </si>
  <si>
    <t>put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</si>
</sst>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1" fillId="0" borderId="4" xfId="1" applyBorder="1"/>
    <xf numFmtId="0" fontId="1" fillId="0" borderId="5" xfId="1" applyBorder="1"/>
    <xf numFmtId="0" fontId="3" fillId="0" borderId="4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5" xfId="1" applyFont="1" applyBorder="1" applyAlignment="1">
      <alignment horizontal="center"/>
    </xf>
    <xf numFmtId="0" fontId="1" fillId="0" borderId="0" xfId="1" applyAlignment="1">
      <alignment wrapText="1"/>
    </xf>
    <xf numFmtId="0" fontId="1" fillId="0" borderId="5" xfId="1" applyBorder="1" applyAlignment="1">
      <alignment wrapText="1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9" fontId="0" fillId="0" borderId="0" xfId="0" applyNumberFormat="1"/>
    <xf numFmtId="168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 xr:uid="{1F62E7BF-92AA-4FA9-913C-066440CF39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profit patterns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 from buying stock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Sheet1!$D$7:$D$26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Sheet1!$E$7:$E$26</c:f>
              <c:numCache>
                <c:formatCode>General</c:formatCode>
                <c:ptCount val="20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  <c:pt idx="6">
                  <c:v>-5</c:v>
                </c:pt>
                <c:pt idx="7">
                  <c:v>0</c:v>
                </c:pt>
                <c:pt idx="8">
                  <c:v>5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  <c:pt idx="18">
                  <c:v>55</c:v>
                </c:pt>
                <c:pt idx="19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E6-4348-9201-EE2ED3B4FD01}"/>
            </c:ext>
          </c:extLst>
        </c:ser>
        <c:ser>
          <c:idx val="1"/>
          <c:order val="1"/>
          <c:tx>
            <c:v>Profit from selling the stock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Sheet1!$D$7:$D$26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Sheet1!$F$7:$F$26</c:f>
              <c:numCache>
                <c:formatCode>General</c:formatCode>
                <c:ptCount val="20"/>
                <c:pt idx="0">
                  <c:v>35</c:v>
                </c:pt>
                <c:pt idx="1">
                  <c:v>30</c:v>
                </c:pt>
                <c:pt idx="2">
                  <c:v>25</c:v>
                </c:pt>
                <c:pt idx="3">
                  <c:v>20</c:v>
                </c:pt>
                <c:pt idx="4">
                  <c:v>15</c:v>
                </c:pt>
                <c:pt idx="5">
                  <c:v>10</c:v>
                </c:pt>
                <c:pt idx="6">
                  <c:v>5</c:v>
                </c:pt>
                <c:pt idx="7">
                  <c:v>0</c:v>
                </c:pt>
                <c:pt idx="8">
                  <c:v>-5</c:v>
                </c:pt>
                <c:pt idx="9">
                  <c:v>-10</c:v>
                </c:pt>
                <c:pt idx="10">
                  <c:v>-15</c:v>
                </c:pt>
                <c:pt idx="11">
                  <c:v>-20</c:v>
                </c:pt>
                <c:pt idx="12">
                  <c:v>-25</c:v>
                </c:pt>
                <c:pt idx="13">
                  <c:v>-30</c:v>
                </c:pt>
                <c:pt idx="14">
                  <c:v>-35</c:v>
                </c:pt>
                <c:pt idx="15">
                  <c:v>-40</c:v>
                </c:pt>
                <c:pt idx="16">
                  <c:v>-45</c:v>
                </c:pt>
                <c:pt idx="17">
                  <c:v>-50</c:v>
                </c:pt>
                <c:pt idx="18">
                  <c:v>-55</c:v>
                </c:pt>
                <c:pt idx="19">
                  <c:v>-60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E6-4348-9201-EE2ED3B4F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738751"/>
        <c:axId val="1745295775"/>
      </c:scatterChart>
      <c:valAx>
        <c:axId val="173973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295775"/>
        <c:crosses val="autoZero"/>
        <c:crossBetween val="midCat"/>
      </c:valAx>
      <c:valAx>
        <c:axId val="174529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73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Call option Profit patterns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 from buying call option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Sheet1!$D$7:$D$26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Sheet1!$G$7:$G$26</c:f>
              <c:numCache>
                <c:formatCode>General</c:formatCode>
                <c:ptCount val="20"/>
                <c:pt idx="0">
                  <c:v>-4</c:v>
                </c:pt>
                <c:pt idx="1">
                  <c:v>-4</c:v>
                </c:pt>
                <c:pt idx="2">
                  <c:v>-4</c:v>
                </c:pt>
                <c:pt idx="3">
                  <c:v>-4</c:v>
                </c:pt>
                <c:pt idx="4">
                  <c:v>-4</c:v>
                </c:pt>
                <c:pt idx="5">
                  <c:v>-4</c:v>
                </c:pt>
                <c:pt idx="6">
                  <c:v>-4</c:v>
                </c:pt>
                <c:pt idx="7">
                  <c:v>-4</c:v>
                </c:pt>
                <c:pt idx="8">
                  <c:v>1</c:v>
                </c:pt>
                <c:pt idx="9">
                  <c:v>6</c:v>
                </c:pt>
                <c:pt idx="10">
                  <c:v>11</c:v>
                </c:pt>
                <c:pt idx="11">
                  <c:v>16</c:v>
                </c:pt>
                <c:pt idx="12">
                  <c:v>21</c:v>
                </c:pt>
                <c:pt idx="13">
                  <c:v>26</c:v>
                </c:pt>
                <c:pt idx="14">
                  <c:v>31</c:v>
                </c:pt>
                <c:pt idx="15">
                  <c:v>36</c:v>
                </c:pt>
                <c:pt idx="16">
                  <c:v>41</c:v>
                </c:pt>
                <c:pt idx="17">
                  <c:v>46</c:v>
                </c:pt>
                <c:pt idx="18">
                  <c:v>51</c:v>
                </c:pt>
                <c:pt idx="19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D-467E-8DFE-39850B268E50}"/>
            </c:ext>
          </c:extLst>
        </c:ser>
        <c:ser>
          <c:idx val="1"/>
          <c:order val="1"/>
          <c:tx>
            <c:v>Profit from selling call option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Sheet1!$D$7:$D$26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Sheet1!$H$7:$H$26</c:f>
              <c:numCache>
                <c:formatCode>General</c:formatCode>
                <c:ptCount val="2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-1</c:v>
                </c:pt>
                <c:pt idx="9">
                  <c:v>-6</c:v>
                </c:pt>
                <c:pt idx="10">
                  <c:v>-11</c:v>
                </c:pt>
                <c:pt idx="11">
                  <c:v>-16</c:v>
                </c:pt>
                <c:pt idx="12">
                  <c:v>-21</c:v>
                </c:pt>
                <c:pt idx="13">
                  <c:v>-26</c:v>
                </c:pt>
                <c:pt idx="14">
                  <c:v>-31</c:v>
                </c:pt>
                <c:pt idx="15">
                  <c:v>-36</c:v>
                </c:pt>
                <c:pt idx="16">
                  <c:v>-41</c:v>
                </c:pt>
                <c:pt idx="17">
                  <c:v>-46</c:v>
                </c:pt>
                <c:pt idx="18">
                  <c:v>-51</c:v>
                </c:pt>
                <c:pt idx="19">
                  <c:v>-56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CD-467E-8DFE-39850B268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580479"/>
        <c:axId val="1735895935"/>
      </c:scatterChart>
      <c:valAx>
        <c:axId val="173458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895935"/>
        <c:crosses val="autoZero"/>
        <c:crossBetween val="midCat"/>
      </c:valAx>
      <c:valAx>
        <c:axId val="173589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80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Put option profit patterns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 from buying put option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Sheet1!$D$7:$D$26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Sheet1!$I$7:$I$26</c:f>
              <c:numCache>
                <c:formatCode>General</c:formatCode>
                <c:ptCount val="20"/>
                <c:pt idx="0">
                  <c:v>33</c:v>
                </c:pt>
                <c:pt idx="1">
                  <c:v>28</c:v>
                </c:pt>
                <c:pt idx="2">
                  <c:v>23</c:v>
                </c:pt>
                <c:pt idx="3">
                  <c:v>18</c:v>
                </c:pt>
                <c:pt idx="4">
                  <c:v>13</c:v>
                </c:pt>
                <c:pt idx="5">
                  <c:v>8</c:v>
                </c:pt>
                <c:pt idx="6">
                  <c:v>3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41-410E-8E31-A81FD25CF59B}"/>
            </c:ext>
          </c:extLst>
        </c:ser>
        <c:ser>
          <c:idx val="1"/>
          <c:order val="1"/>
          <c:tx>
            <c:v>Profit from selling put option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Sheet1!$D$7:$D$26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Sheet1!$J$7:$J$26</c:f>
              <c:numCache>
                <c:formatCode>General</c:formatCode>
                <c:ptCount val="20"/>
                <c:pt idx="0">
                  <c:v>-33</c:v>
                </c:pt>
                <c:pt idx="1">
                  <c:v>-28</c:v>
                </c:pt>
                <c:pt idx="2">
                  <c:v>-23</c:v>
                </c:pt>
                <c:pt idx="3">
                  <c:v>-18</c:v>
                </c:pt>
                <c:pt idx="4">
                  <c:v>-13</c:v>
                </c:pt>
                <c:pt idx="5">
                  <c:v>-8</c:v>
                </c:pt>
                <c:pt idx="6">
                  <c:v>-3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41-410E-8E31-A81FD25CF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588159"/>
        <c:axId val="1808088255"/>
      </c:scatterChart>
      <c:valAx>
        <c:axId val="173458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088255"/>
        <c:crosses val="autoZero"/>
        <c:crossBetween val="midCat"/>
      </c:valAx>
      <c:valAx>
        <c:axId val="180808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88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3</xdr:row>
      <xdr:rowOff>152400</xdr:rowOff>
    </xdr:from>
    <xdr:to>
      <xdr:col>4</xdr:col>
      <xdr:colOff>323850</xdr:colOff>
      <xdr:row>3</xdr:row>
      <xdr:rowOff>152400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05EF068-0AE3-4F4F-94C2-CA763852FC04}"/>
            </a:ext>
          </a:extLst>
        </xdr:cNvPr>
        <xdr:cNvSpPr>
          <a:spLocks noChangeShapeType="1"/>
        </xdr:cNvSpPr>
      </xdr:nvSpPr>
      <xdr:spPr bwMode="auto">
        <a:xfrm>
          <a:off x="504825" y="733425"/>
          <a:ext cx="55435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152400</xdr:colOff>
      <xdr:row>5</xdr:row>
      <xdr:rowOff>9525</xdr:rowOff>
    </xdr:from>
    <xdr:to>
      <xdr:col>4</xdr:col>
      <xdr:colOff>247650</xdr:colOff>
      <xdr:row>9</xdr:row>
      <xdr:rowOff>142875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7BCA163-AC2E-4EEC-8769-B3303D7C228D}"/>
            </a:ext>
          </a:extLst>
        </xdr:cNvPr>
        <xdr:cNvSpPr>
          <a:spLocks/>
        </xdr:cNvSpPr>
      </xdr:nvSpPr>
      <xdr:spPr bwMode="auto">
        <a:xfrm>
          <a:off x="5876925" y="914400"/>
          <a:ext cx="95250" cy="1466850"/>
        </a:xfrm>
        <a:prstGeom prst="rightBrace">
          <a:avLst>
            <a:gd name="adj1" fmla="val 12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152400</xdr:colOff>
      <xdr:row>10</xdr:row>
      <xdr:rowOff>66675</xdr:rowOff>
    </xdr:from>
    <xdr:to>
      <xdr:col>4</xdr:col>
      <xdr:colOff>238125</xdr:colOff>
      <xdr:row>12</xdr:row>
      <xdr:rowOff>466725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4EAF3E85-BE56-405C-BAAE-82FB86650F18}"/>
            </a:ext>
          </a:extLst>
        </xdr:cNvPr>
        <xdr:cNvSpPr>
          <a:spLocks/>
        </xdr:cNvSpPr>
      </xdr:nvSpPr>
      <xdr:spPr bwMode="auto">
        <a:xfrm>
          <a:off x="5876925" y="2466975"/>
          <a:ext cx="85725" cy="1247775"/>
        </a:xfrm>
        <a:prstGeom prst="rightBrace">
          <a:avLst>
            <a:gd name="adj1" fmla="val 12129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504825</xdr:colOff>
      <xdr:row>20</xdr:row>
      <xdr:rowOff>152400</xdr:rowOff>
    </xdr:from>
    <xdr:to>
      <xdr:col>4</xdr:col>
      <xdr:colOff>323850</xdr:colOff>
      <xdr:row>20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41CC6477-BDC6-40D4-9A79-503D770E4BA5}"/>
            </a:ext>
          </a:extLst>
        </xdr:cNvPr>
        <xdr:cNvSpPr>
          <a:spLocks noChangeShapeType="1"/>
        </xdr:cNvSpPr>
      </xdr:nvSpPr>
      <xdr:spPr bwMode="auto">
        <a:xfrm>
          <a:off x="504825" y="5114925"/>
          <a:ext cx="55435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152400</xdr:colOff>
      <xdr:row>22</xdr:row>
      <xdr:rowOff>9525</xdr:rowOff>
    </xdr:from>
    <xdr:to>
      <xdr:col>4</xdr:col>
      <xdr:colOff>247650</xdr:colOff>
      <xdr:row>26</xdr:row>
      <xdr:rowOff>142875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C31004D2-2A5C-4CA3-BBB0-8547D2423AC5}"/>
            </a:ext>
          </a:extLst>
        </xdr:cNvPr>
        <xdr:cNvSpPr>
          <a:spLocks/>
        </xdr:cNvSpPr>
      </xdr:nvSpPr>
      <xdr:spPr bwMode="auto">
        <a:xfrm>
          <a:off x="5876925" y="5295900"/>
          <a:ext cx="95250" cy="1466850"/>
        </a:xfrm>
        <a:prstGeom prst="rightBrace">
          <a:avLst>
            <a:gd name="adj1" fmla="val 12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152400</xdr:colOff>
      <xdr:row>27</xdr:row>
      <xdr:rowOff>66675</xdr:rowOff>
    </xdr:from>
    <xdr:to>
      <xdr:col>4</xdr:col>
      <xdr:colOff>238125</xdr:colOff>
      <xdr:row>29</xdr:row>
      <xdr:rowOff>466725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13717546-6B2C-483F-9DB5-17CB2C24AA2B}"/>
            </a:ext>
          </a:extLst>
        </xdr:cNvPr>
        <xdr:cNvSpPr>
          <a:spLocks/>
        </xdr:cNvSpPr>
      </xdr:nvSpPr>
      <xdr:spPr bwMode="auto">
        <a:xfrm>
          <a:off x="5876925" y="6848475"/>
          <a:ext cx="85725" cy="1247775"/>
        </a:xfrm>
        <a:prstGeom prst="rightBrace">
          <a:avLst>
            <a:gd name="adj1" fmla="val 12129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542925</xdr:colOff>
      <xdr:row>10</xdr:row>
      <xdr:rowOff>28575</xdr:rowOff>
    </xdr:from>
    <xdr:to>
      <xdr:col>4</xdr:col>
      <xdr:colOff>361950</xdr:colOff>
      <xdr:row>10</xdr:row>
      <xdr:rowOff>28575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AB957E3F-6545-474D-9944-1ED6729E446F}"/>
            </a:ext>
          </a:extLst>
        </xdr:cNvPr>
        <xdr:cNvSpPr>
          <a:spLocks noChangeShapeType="1"/>
        </xdr:cNvSpPr>
      </xdr:nvSpPr>
      <xdr:spPr bwMode="auto">
        <a:xfrm>
          <a:off x="542925" y="2428875"/>
          <a:ext cx="55435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514350</xdr:colOff>
      <xdr:row>27</xdr:row>
      <xdr:rowOff>28575</xdr:rowOff>
    </xdr:from>
    <xdr:to>
      <xdr:col>4</xdr:col>
      <xdr:colOff>323850</xdr:colOff>
      <xdr:row>27</xdr:row>
      <xdr:rowOff>28575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1743BD68-E1F1-4BA9-8D87-15943E36AFBD}"/>
            </a:ext>
          </a:extLst>
        </xdr:cNvPr>
        <xdr:cNvSpPr>
          <a:spLocks noChangeShapeType="1"/>
        </xdr:cNvSpPr>
      </xdr:nvSpPr>
      <xdr:spPr bwMode="auto">
        <a:xfrm>
          <a:off x="514350" y="6810375"/>
          <a:ext cx="55340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4</xdr:col>
      <xdr:colOff>831850</xdr:colOff>
      <xdr:row>42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22C482-ED69-DE1D-A879-5B089198B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73025</xdr:colOff>
      <xdr:row>28</xdr:row>
      <xdr:rowOff>38100</xdr:rowOff>
    </xdr:from>
    <xdr:to>
      <xdr:col>8</xdr:col>
      <xdr:colOff>409575</xdr:colOff>
      <xdr:row>43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9F6F44-BE80-3AB4-BD44-BD512D4DB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638175</xdr:colOff>
      <xdr:row>28</xdr:row>
      <xdr:rowOff>50800</xdr:rowOff>
    </xdr:from>
    <xdr:to>
      <xdr:col>11</xdr:col>
      <xdr:colOff>473075</xdr:colOff>
      <xdr:row>43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550CEB-7397-A19B-6AB7-A6DE10735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5772-C7EB-41CE-B653-9448BF67700D}">
  <sheetPr codeName="Sheet2"/>
  <dimension ref="A1:F31"/>
  <sheetViews>
    <sheetView workbookViewId="0">
      <selection activeCell="I12" sqref="I12"/>
    </sheetView>
  </sheetViews>
  <sheetFormatPr defaultColWidth="9.1796875" defaultRowHeight="12.5" x14ac:dyDescent="0.25"/>
  <cols>
    <col min="1" max="1" width="9.1796875" style="1"/>
    <col min="2" max="2" width="24.26953125" style="1" customWidth="1"/>
    <col min="3" max="3" width="32.453125" style="1" customWidth="1"/>
    <col min="4" max="4" width="20" style="1" customWidth="1"/>
    <col min="5" max="5" width="9.1796875" style="1"/>
    <col min="6" max="6" width="11.81640625" style="1" customWidth="1"/>
    <col min="7" max="16384" width="9.1796875" style="1"/>
  </cols>
  <sheetData>
    <row r="1" spans="1:6" ht="20" x14ac:dyDescent="0.4">
      <c r="A1" s="12" t="s">
        <v>0</v>
      </c>
      <c r="B1" s="13"/>
      <c r="C1" s="13"/>
      <c r="D1" s="13"/>
      <c r="E1" s="13"/>
      <c r="F1" s="14"/>
    </row>
    <row r="2" spans="1:6" x14ac:dyDescent="0.25">
      <c r="A2" s="2"/>
      <c r="F2" s="3"/>
    </row>
    <row r="3" spans="1:6" s="5" customFormat="1" ht="13" x14ac:dyDescent="0.3">
      <c r="A3" s="4"/>
      <c r="B3" s="5" t="s">
        <v>1</v>
      </c>
      <c r="D3" s="5" t="s">
        <v>2</v>
      </c>
      <c r="F3" s="6"/>
    </row>
    <row r="4" spans="1:6" x14ac:dyDescent="0.25">
      <c r="A4" s="2"/>
      <c r="F4" s="3"/>
    </row>
    <row r="5" spans="1:6" x14ac:dyDescent="0.25">
      <c r="A5" s="2"/>
      <c r="F5" s="3"/>
    </row>
    <row r="6" spans="1:6" ht="27.5" x14ac:dyDescent="0.4">
      <c r="A6" s="2"/>
      <c r="B6" s="7" t="s">
        <v>3</v>
      </c>
      <c r="D6" s="7" t="s">
        <v>4</v>
      </c>
      <c r="F6" s="3"/>
    </row>
    <row r="7" spans="1:6" ht="25" x14ac:dyDescent="0.25">
      <c r="A7" s="2"/>
      <c r="F7" s="8" t="s">
        <v>5</v>
      </c>
    </row>
    <row r="8" spans="1:6" ht="38" x14ac:dyDescent="0.25">
      <c r="A8" s="2"/>
      <c r="C8" s="7" t="s">
        <v>6</v>
      </c>
      <c r="F8" s="3"/>
    </row>
    <row r="9" spans="1:6" x14ac:dyDescent="0.25">
      <c r="A9" s="2"/>
      <c r="F9" s="3"/>
    </row>
    <row r="10" spans="1:6" x14ac:dyDescent="0.25">
      <c r="A10" s="2"/>
      <c r="F10" s="3"/>
    </row>
    <row r="11" spans="1:6" ht="27.5" x14ac:dyDescent="0.4">
      <c r="A11" s="2"/>
      <c r="B11" s="7" t="s">
        <v>7</v>
      </c>
      <c r="D11" s="7" t="s">
        <v>8</v>
      </c>
      <c r="F11" s="3"/>
    </row>
    <row r="12" spans="1:6" ht="25" x14ac:dyDescent="0.25">
      <c r="A12" s="2"/>
      <c r="F12" s="8" t="s">
        <v>9</v>
      </c>
    </row>
    <row r="13" spans="1:6" ht="38" x14ac:dyDescent="0.25">
      <c r="A13" s="2"/>
      <c r="C13" s="7" t="s">
        <v>10</v>
      </c>
      <c r="F13" s="3"/>
    </row>
    <row r="14" spans="1:6" x14ac:dyDescent="0.25">
      <c r="A14" s="9"/>
      <c r="B14" s="10"/>
      <c r="C14" s="10"/>
      <c r="D14" s="10"/>
      <c r="E14" s="10"/>
      <c r="F14" s="11"/>
    </row>
    <row r="18" spans="1:6" ht="20" x14ac:dyDescent="0.4">
      <c r="A18" s="12" t="s">
        <v>11</v>
      </c>
      <c r="B18" s="13"/>
      <c r="C18" s="13"/>
      <c r="D18" s="13"/>
      <c r="E18" s="13"/>
      <c r="F18" s="14"/>
    </row>
    <row r="19" spans="1:6" x14ac:dyDescent="0.25">
      <c r="A19" s="2"/>
      <c r="F19" s="3"/>
    </row>
    <row r="20" spans="1:6" ht="13" x14ac:dyDescent="0.3">
      <c r="A20" s="4"/>
      <c r="B20" s="5" t="s">
        <v>1</v>
      </c>
      <c r="C20" s="5"/>
      <c r="D20" s="5" t="s">
        <v>2</v>
      </c>
      <c r="E20" s="5"/>
      <c r="F20" s="6"/>
    </row>
    <row r="21" spans="1:6" x14ac:dyDescent="0.25">
      <c r="A21" s="2"/>
      <c r="F21" s="3"/>
    </row>
    <row r="22" spans="1:6" x14ac:dyDescent="0.25">
      <c r="A22" s="2"/>
      <c r="F22" s="3"/>
    </row>
    <row r="23" spans="1:6" ht="27.5" x14ac:dyDescent="0.4">
      <c r="A23" s="2"/>
      <c r="B23" s="7" t="s">
        <v>12</v>
      </c>
      <c r="D23" s="7" t="s">
        <v>13</v>
      </c>
      <c r="F23" s="3"/>
    </row>
    <row r="24" spans="1:6" ht="25" x14ac:dyDescent="0.25">
      <c r="A24" s="2"/>
      <c r="F24" s="8" t="s">
        <v>14</v>
      </c>
    </row>
    <row r="25" spans="1:6" ht="38" x14ac:dyDescent="0.25">
      <c r="A25" s="2"/>
      <c r="C25" s="7" t="s">
        <v>6</v>
      </c>
      <c r="F25" s="3"/>
    </row>
    <row r="26" spans="1:6" x14ac:dyDescent="0.25">
      <c r="A26" s="2"/>
      <c r="F26" s="3"/>
    </row>
    <row r="27" spans="1:6" x14ac:dyDescent="0.25">
      <c r="A27" s="2"/>
      <c r="F27" s="3"/>
    </row>
    <row r="28" spans="1:6" ht="27.5" x14ac:dyDescent="0.4">
      <c r="A28" s="2"/>
      <c r="B28" s="7" t="s">
        <v>7</v>
      </c>
      <c r="D28" s="7" t="s">
        <v>15</v>
      </c>
      <c r="F28" s="3"/>
    </row>
    <row r="29" spans="1:6" ht="25" x14ac:dyDescent="0.25">
      <c r="A29" s="2"/>
      <c r="F29" s="8" t="s">
        <v>16</v>
      </c>
    </row>
    <row r="30" spans="1:6" ht="38" x14ac:dyDescent="0.25">
      <c r="A30" s="2"/>
      <c r="C30" s="7" t="s">
        <v>10</v>
      </c>
      <c r="F30" s="3"/>
    </row>
    <row r="31" spans="1:6" x14ac:dyDescent="0.25">
      <c r="A31" s="9"/>
      <c r="B31" s="10"/>
      <c r="C31" s="10"/>
      <c r="D31" s="10"/>
      <c r="E31" s="10"/>
      <c r="F31" s="11"/>
    </row>
  </sheetData>
  <mergeCells count="2">
    <mergeCell ref="A1:F1"/>
    <mergeCell ref="A18:F18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6"/>
  <sheetViews>
    <sheetView topLeftCell="A13" workbookViewId="0">
      <selection activeCell="E46" sqref="E46"/>
    </sheetView>
  </sheetViews>
  <sheetFormatPr defaultRowHeight="14.5" x14ac:dyDescent="0.35"/>
  <cols>
    <col min="1" max="1" width="27.36328125" customWidth="1"/>
    <col min="5" max="5" width="16" bestFit="1" customWidth="1"/>
    <col min="6" max="6" width="15.6328125" bestFit="1" customWidth="1"/>
    <col min="7" max="7" width="25.36328125" bestFit="1" customWidth="1"/>
    <col min="8" max="8" width="19.6328125" bestFit="1" customWidth="1"/>
    <col min="9" max="9" width="16" bestFit="1" customWidth="1"/>
    <col min="10" max="10" width="26.453125" customWidth="1"/>
    <col min="11" max="11" width="25.36328125" bestFit="1" customWidth="1"/>
    <col min="12" max="12" width="24.90625" bestFit="1" customWidth="1"/>
    <col min="13" max="13" width="26.90625" bestFit="1" customWidth="1"/>
    <col min="14" max="14" width="27.08984375" bestFit="1" customWidth="1"/>
  </cols>
  <sheetData>
    <row r="1" spans="1:10" x14ac:dyDescent="0.35">
      <c r="A1" t="s">
        <v>17</v>
      </c>
      <c r="B1">
        <v>40</v>
      </c>
      <c r="C1">
        <v>70</v>
      </c>
    </row>
    <row r="2" spans="1:10" x14ac:dyDescent="0.35">
      <c r="A2" t="s">
        <v>18</v>
      </c>
      <c r="B2">
        <v>70</v>
      </c>
      <c r="C2">
        <v>40</v>
      </c>
    </row>
    <row r="4" spans="1:10" x14ac:dyDescent="0.35">
      <c r="A4" t="s">
        <v>19</v>
      </c>
      <c r="B4">
        <f>B2-B1</f>
        <v>30</v>
      </c>
      <c r="C4">
        <f>C2-C1</f>
        <v>-30</v>
      </c>
    </row>
    <row r="5" spans="1:10" x14ac:dyDescent="0.35">
      <c r="A5" t="s">
        <v>20</v>
      </c>
      <c r="B5">
        <f>B1-B2</f>
        <v>-30</v>
      </c>
      <c r="C5">
        <f>C1-C2</f>
        <v>30</v>
      </c>
      <c r="D5" t="s">
        <v>18</v>
      </c>
      <c r="E5" t="s">
        <v>19</v>
      </c>
      <c r="F5" t="s">
        <v>20</v>
      </c>
      <c r="G5" t="s">
        <v>23</v>
      </c>
      <c r="H5" t="s">
        <v>24</v>
      </c>
      <c r="I5" t="s">
        <v>27</v>
      </c>
      <c r="J5" t="s">
        <v>28</v>
      </c>
    </row>
    <row r="6" spans="1:10" x14ac:dyDescent="0.35">
      <c r="E6">
        <f>B4</f>
        <v>30</v>
      </c>
      <c r="F6">
        <f>B5</f>
        <v>-30</v>
      </c>
      <c r="G6">
        <f>B9</f>
        <v>26</v>
      </c>
      <c r="H6">
        <f>B10</f>
        <v>-26</v>
      </c>
      <c r="I6">
        <f>B14</f>
        <v>-2</v>
      </c>
      <c r="J6">
        <f>B15</f>
        <v>2</v>
      </c>
    </row>
    <row r="7" spans="1:10" x14ac:dyDescent="0.35">
      <c r="A7" t="s">
        <v>21</v>
      </c>
      <c r="B7">
        <v>40</v>
      </c>
      <c r="C7">
        <v>70</v>
      </c>
      <c r="D7">
        <v>5</v>
      </c>
      <c r="E7">
        <f t="dataTable" ref="E7:J26" dt2D="0" dtr="0" r1="B2"/>
        <v>-35</v>
      </c>
      <c r="F7">
        <v>35</v>
      </c>
      <c r="G7">
        <v>-4</v>
      </c>
      <c r="H7">
        <v>4</v>
      </c>
      <c r="I7">
        <v>33</v>
      </c>
      <c r="J7">
        <v>-33</v>
      </c>
    </row>
    <row r="8" spans="1:10" x14ac:dyDescent="0.35">
      <c r="A8" t="s">
        <v>22</v>
      </c>
      <c r="B8">
        <v>4</v>
      </c>
      <c r="C8">
        <v>4</v>
      </c>
      <c r="D8">
        <v>10</v>
      </c>
      <c r="E8">
        <v>-30</v>
      </c>
      <c r="F8">
        <v>30</v>
      </c>
      <c r="G8">
        <v>-4</v>
      </c>
      <c r="H8">
        <v>4</v>
      </c>
      <c r="I8">
        <v>28</v>
      </c>
      <c r="J8">
        <v>-28</v>
      </c>
    </row>
    <row r="9" spans="1:10" x14ac:dyDescent="0.35">
      <c r="A9" t="s">
        <v>23</v>
      </c>
      <c r="B9">
        <f>MAX(B2-B7,0)-B8</f>
        <v>26</v>
      </c>
      <c r="C9">
        <f>MAX(C2-C7,0)-C8</f>
        <v>-4</v>
      </c>
      <c r="D9">
        <v>15</v>
      </c>
      <c r="E9">
        <v>-25</v>
      </c>
      <c r="F9">
        <v>25</v>
      </c>
      <c r="G9">
        <v>-4</v>
      </c>
      <c r="H9">
        <v>4</v>
      </c>
      <c r="I9">
        <v>23</v>
      </c>
      <c r="J9">
        <v>-23</v>
      </c>
    </row>
    <row r="10" spans="1:10" x14ac:dyDescent="0.35">
      <c r="A10" t="s">
        <v>24</v>
      </c>
      <c r="B10">
        <f>-MAX(B2-B7,0)+4</f>
        <v>-26</v>
      </c>
      <c r="C10">
        <f>-MAX(C2-C7,0)+4</f>
        <v>4</v>
      </c>
      <c r="D10">
        <v>20</v>
      </c>
      <c r="E10">
        <v>-20</v>
      </c>
      <c r="F10">
        <v>20</v>
      </c>
      <c r="G10">
        <v>-4</v>
      </c>
      <c r="H10">
        <v>4</v>
      </c>
      <c r="I10">
        <v>18</v>
      </c>
      <c r="J10">
        <v>-18</v>
      </c>
    </row>
    <row r="11" spans="1:10" x14ac:dyDescent="0.35">
      <c r="D11">
        <v>25</v>
      </c>
      <c r="E11">
        <v>-15</v>
      </c>
      <c r="F11">
        <v>15</v>
      </c>
      <c r="G11">
        <v>-4</v>
      </c>
      <c r="H11">
        <v>4</v>
      </c>
      <c r="I11">
        <v>13</v>
      </c>
      <c r="J11">
        <v>-13</v>
      </c>
    </row>
    <row r="12" spans="1:10" x14ac:dyDescent="0.35">
      <c r="A12" t="s">
        <v>25</v>
      </c>
      <c r="B12">
        <v>40</v>
      </c>
      <c r="C12">
        <v>70</v>
      </c>
      <c r="D12">
        <v>30</v>
      </c>
      <c r="E12">
        <v>-10</v>
      </c>
      <c r="F12">
        <v>10</v>
      </c>
      <c r="G12">
        <v>-4</v>
      </c>
      <c r="H12">
        <v>4</v>
      </c>
      <c r="I12">
        <v>8</v>
      </c>
      <c r="J12">
        <v>-8</v>
      </c>
    </row>
    <row r="13" spans="1:10" x14ac:dyDescent="0.35">
      <c r="A13" t="s">
        <v>26</v>
      </c>
      <c r="B13">
        <v>2</v>
      </c>
      <c r="C13">
        <v>2</v>
      </c>
      <c r="D13">
        <v>35</v>
      </c>
      <c r="E13">
        <v>-5</v>
      </c>
      <c r="F13">
        <v>5</v>
      </c>
      <c r="G13">
        <v>-4</v>
      </c>
      <c r="H13">
        <v>4</v>
      </c>
      <c r="I13">
        <v>3</v>
      </c>
      <c r="J13">
        <v>-3</v>
      </c>
    </row>
    <row r="14" spans="1:10" x14ac:dyDescent="0.35">
      <c r="A14" t="s">
        <v>27</v>
      </c>
      <c r="B14">
        <f>MAX(B12-B2,0)-B13</f>
        <v>-2</v>
      </c>
      <c r="C14">
        <f>MAX(C12-C2,0)-C13</f>
        <v>28</v>
      </c>
      <c r="D14">
        <v>40</v>
      </c>
      <c r="E14">
        <v>0</v>
      </c>
      <c r="F14">
        <v>0</v>
      </c>
      <c r="G14">
        <v>-4</v>
      </c>
      <c r="H14">
        <v>4</v>
      </c>
      <c r="I14">
        <v>-2</v>
      </c>
      <c r="J14">
        <v>2</v>
      </c>
    </row>
    <row r="15" spans="1:10" x14ac:dyDescent="0.35">
      <c r="A15" t="s">
        <v>28</v>
      </c>
      <c r="B15">
        <f>-MAX(B12-B2,0)+B13</f>
        <v>2</v>
      </c>
      <c r="C15">
        <f>-MAX(C12-C2,0)+C13</f>
        <v>-28</v>
      </c>
      <c r="D15">
        <v>45</v>
      </c>
      <c r="E15">
        <v>5</v>
      </c>
      <c r="F15">
        <v>-5</v>
      </c>
      <c r="G15">
        <v>1</v>
      </c>
      <c r="H15">
        <v>-1</v>
      </c>
      <c r="I15">
        <v>-2</v>
      </c>
      <c r="J15">
        <v>2</v>
      </c>
    </row>
    <row r="16" spans="1:10" x14ac:dyDescent="0.35">
      <c r="D16">
        <v>50</v>
      </c>
      <c r="E16">
        <v>10</v>
      </c>
      <c r="F16">
        <v>-10</v>
      </c>
      <c r="G16">
        <v>6</v>
      </c>
      <c r="H16">
        <v>-6</v>
      </c>
      <c r="I16">
        <v>-2</v>
      </c>
      <c r="J16">
        <v>2</v>
      </c>
    </row>
    <row r="17" spans="4:10" x14ac:dyDescent="0.35">
      <c r="D17">
        <v>55</v>
      </c>
      <c r="E17">
        <v>15</v>
      </c>
      <c r="F17">
        <v>-15</v>
      </c>
      <c r="G17">
        <v>11</v>
      </c>
      <c r="H17">
        <v>-11</v>
      </c>
      <c r="I17">
        <v>-2</v>
      </c>
      <c r="J17">
        <v>2</v>
      </c>
    </row>
    <row r="18" spans="4:10" x14ac:dyDescent="0.35">
      <c r="D18">
        <v>60</v>
      </c>
      <c r="E18">
        <v>20</v>
      </c>
      <c r="F18">
        <v>-20</v>
      </c>
      <c r="G18">
        <v>16</v>
      </c>
      <c r="H18">
        <v>-16</v>
      </c>
      <c r="I18">
        <v>-2</v>
      </c>
      <c r="J18">
        <v>2</v>
      </c>
    </row>
    <row r="19" spans="4:10" x14ac:dyDescent="0.35">
      <c r="D19">
        <v>65</v>
      </c>
      <c r="E19">
        <v>25</v>
      </c>
      <c r="F19">
        <v>-25</v>
      </c>
      <c r="G19">
        <v>21</v>
      </c>
      <c r="H19">
        <v>-21</v>
      </c>
      <c r="I19">
        <v>-2</v>
      </c>
      <c r="J19">
        <v>2</v>
      </c>
    </row>
    <row r="20" spans="4:10" x14ac:dyDescent="0.35">
      <c r="D20">
        <v>70</v>
      </c>
      <c r="E20">
        <v>30</v>
      </c>
      <c r="F20">
        <v>-30</v>
      </c>
      <c r="G20">
        <v>26</v>
      </c>
      <c r="H20">
        <v>-26</v>
      </c>
      <c r="I20">
        <v>-2</v>
      </c>
      <c r="J20">
        <v>2</v>
      </c>
    </row>
    <row r="21" spans="4:10" x14ac:dyDescent="0.35">
      <c r="D21">
        <v>75</v>
      </c>
      <c r="E21">
        <v>35</v>
      </c>
      <c r="F21">
        <v>-35</v>
      </c>
      <c r="G21">
        <v>31</v>
      </c>
      <c r="H21">
        <v>-31</v>
      </c>
      <c r="I21">
        <v>-2</v>
      </c>
      <c r="J21">
        <v>2</v>
      </c>
    </row>
    <row r="22" spans="4:10" x14ac:dyDescent="0.35">
      <c r="D22">
        <v>80</v>
      </c>
      <c r="E22">
        <v>40</v>
      </c>
      <c r="F22">
        <v>-40</v>
      </c>
      <c r="G22">
        <v>36</v>
      </c>
      <c r="H22">
        <v>-36</v>
      </c>
      <c r="I22">
        <v>-2</v>
      </c>
      <c r="J22">
        <v>2</v>
      </c>
    </row>
    <row r="23" spans="4:10" x14ac:dyDescent="0.35">
      <c r="D23">
        <v>85</v>
      </c>
      <c r="E23">
        <v>45</v>
      </c>
      <c r="F23">
        <v>-45</v>
      </c>
      <c r="G23">
        <v>41</v>
      </c>
      <c r="H23">
        <v>-41</v>
      </c>
      <c r="I23">
        <v>-2</v>
      </c>
      <c r="J23">
        <v>2</v>
      </c>
    </row>
    <row r="24" spans="4:10" x14ac:dyDescent="0.35">
      <c r="D24">
        <v>90</v>
      </c>
      <c r="E24">
        <v>50</v>
      </c>
      <c r="F24">
        <v>-50</v>
      </c>
      <c r="G24">
        <v>46</v>
      </c>
      <c r="H24">
        <v>-46</v>
      </c>
      <c r="I24">
        <v>-2</v>
      </c>
      <c r="J24">
        <v>2</v>
      </c>
    </row>
    <row r="25" spans="4:10" x14ac:dyDescent="0.35">
      <c r="D25">
        <v>95</v>
      </c>
      <c r="E25">
        <v>55</v>
      </c>
      <c r="F25">
        <v>-55</v>
      </c>
      <c r="G25">
        <v>51</v>
      </c>
      <c r="H25">
        <v>-51</v>
      </c>
      <c r="I25">
        <v>-2</v>
      </c>
      <c r="J25">
        <v>2</v>
      </c>
    </row>
    <row r="26" spans="4:10" x14ac:dyDescent="0.35">
      <c r="D26">
        <v>100</v>
      </c>
      <c r="E26">
        <v>60</v>
      </c>
      <c r="F26">
        <v>-60</v>
      </c>
      <c r="G26">
        <v>56</v>
      </c>
      <c r="H26">
        <v>-56</v>
      </c>
      <c r="I26">
        <v>-2</v>
      </c>
      <c r="J26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55A0-4D54-4094-9B6A-557D2AFA1478}">
  <dimension ref="A1:D14"/>
  <sheetViews>
    <sheetView tabSelected="1" workbookViewId="0">
      <selection activeCell="B14" sqref="B14"/>
    </sheetView>
  </sheetViews>
  <sheetFormatPr defaultRowHeight="14.5" x14ac:dyDescent="0.35"/>
  <cols>
    <col min="1" max="1" width="17.6328125" bestFit="1" customWidth="1"/>
    <col min="2" max="2" width="19.7265625" bestFit="1" customWidth="1"/>
    <col min="3" max="3" width="16.08984375" bestFit="1" customWidth="1"/>
  </cols>
  <sheetData>
    <row r="1" spans="1:4" x14ac:dyDescent="0.35">
      <c r="A1" t="s">
        <v>29</v>
      </c>
      <c r="B1">
        <v>50</v>
      </c>
      <c r="D1" t="s">
        <v>36</v>
      </c>
    </row>
    <row r="2" spans="1:4" x14ac:dyDescent="0.35">
      <c r="A2" t="s">
        <v>30</v>
      </c>
      <c r="B2">
        <v>45</v>
      </c>
      <c r="D2" t="s">
        <v>35</v>
      </c>
    </row>
    <row r="3" spans="1:4" x14ac:dyDescent="0.35">
      <c r="A3" t="s">
        <v>31</v>
      </c>
      <c r="B3" s="15">
        <v>0.04</v>
      </c>
      <c r="D3" t="s">
        <v>34</v>
      </c>
    </row>
    <row r="4" spans="1:4" ht="16" customHeight="1" x14ac:dyDescent="0.35">
      <c r="A4" t="s">
        <v>32</v>
      </c>
      <c r="B4">
        <v>0.75</v>
      </c>
      <c r="C4" t="s">
        <v>42</v>
      </c>
      <c r="D4" t="s">
        <v>35</v>
      </c>
    </row>
    <row r="5" spans="1:4" x14ac:dyDescent="0.35">
      <c r="A5" t="s">
        <v>33</v>
      </c>
      <c r="B5" s="15">
        <v>0.3</v>
      </c>
      <c r="D5" t="s">
        <v>37</v>
      </c>
    </row>
    <row r="7" spans="1:4" x14ac:dyDescent="0.35">
      <c r="A7" t="s">
        <v>38</v>
      </c>
      <c r="B7" s="16">
        <f>(LN(B1/B2)+(B3+B5^2/2)*B4)/(B5*SQRT(B4))</f>
        <v>0.65090667825228321</v>
      </c>
    </row>
    <row r="8" spans="1:4" x14ac:dyDescent="0.35">
      <c r="A8" t="s">
        <v>39</v>
      </c>
      <c r="B8" s="16">
        <f>B7-B5*SQRT(B4)</f>
        <v>0.39109905711695164</v>
      </c>
    </row>
    <row r="10" spans="1:4" x14ac:dyDescent="0.35">
      <c r="A10" t="s">
        <v>40</v>
      </c>
      <c r="B10" s="16">
        <f>NORMSDIST(B7)</f>
        <v>0.74244663489664375</v>
      </c>
    </row>
    <row r="11" spans="1:4" x14ac:dyDescent="0.35">
      <c r="A11" t="s">
        <v>41</v>
      </c>
      <c r="B11" s="16">
        <f>NORMSDIST(B8)</f>
        <v>0.65213799122144234</v>
      </c>
    </row>
    <row r="13" spans="1:4" x14ac:dyDescent="0.35">
      <c r="A13" t="s">
        <v>22</v>
      </c>
      <c r="B13" s="17">
        <f>B1*B10-B2*EXP(-B3*B4)*B11</f>
        <v>8.6434337071156619</v>
      </c>
    </row>
    <row r="14" spans="1:4" x14ac:dyDescent="0.35">
      <c r="A14" t="s">
        <v>43</v>
      </c>
      <c r="B14">
        <f>B2*EXP(-B3*B4)*NORMSDIST(-B8)-B1*NORMSDIST(-B7)</f>
        <v>2.3134827167985339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Option Payoff</vt:lpstr>
      <vt:lpstr>Sheet1</vt:lpstr>
      <vt:lpstr>Black scholes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Yuting Meng</dc:creator>
  <cp:lastModifiedBy>Siva Sankari Ravipati</cp:lastModifiedBy>
  <dcterms:created xsi:type="dcterms:W3CDTF">2015-06-05T18:17:20Z</dcterms:created>
  <dcterms:modified xsi:type="dcterms:W3CDTF">2023-10-24T23:17:08Z</dcterms:modified>
</cp:coreProperties>
</file>