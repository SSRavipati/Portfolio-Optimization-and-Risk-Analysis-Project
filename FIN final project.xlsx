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V project\"/>
    </mc:Choice>
  </mc:AlternateContent>
  <xr:revisionPtr revIDLastSave="0" documentId="13_ncr:1_{48E2DA83-D9EE-4B47-A9CC-6DD1F44A2368}" xr6:coauthVersionLast="47" xr6:coauthVersionMax="47" xr10:uidLastSave="{00000000-0000-0000-0000-000000000000}"/>
  <bookViews>
    <workbookView xWindow="-110" yWindow="-110" windowWidth="25820" windowHeight="15500" activeTab="2" xr2:uid="{602D891B-F8D3-4A32-BB98-96963AB62C09}"/>
  </bookViews>
  <sheets>
    <sheet name="Berkshire Hathaway(BRK.B)" sheetId="1" r:id="rId1"/>
    <sheet name="NIke(NKE)" sheetId="2" r:id="rId2"/>
    <sheet name="Total energies(TTE)" sheetId="3" r:id="rId3"/>
    <sheet name="Sheet5" sheetId="5" r:id="rId4"/>
  </sheets>
  <definedNames>
    <definedName name="solver_adj" localSheetId="3" hidden="1">Sheet5!$R$9:$R$11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Sheet5!$R$12</definedName>
    <definedName name="solver_lhs2" localSheetId="3" hidden="1">Sheet5!$R$14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2</definedName>
    <definedName name="solver_nwt" localSheetId="3" hidden="1">1</definedName>
    <definedName name="solver_opt" localSheetId="3" hidden="1">Sheet5!$R$15</definedName>
    <definedName name="solver_pre" localSheetId="3" hidden="1">0.000001</definedName>
    <definedName name="solver_rbv" localSheetId="3" hidden="1">1</definedName>
    <definedName name="solver_rel1" localSheetId="3" hidden="1">2</definedName>
    <definedName name="solver_rel2" localSheetId="3" hidden="1">2</definedName>
    <definedName name="solver_rhs1" localSheetId="3" hidden="1">100%</definedName>
    <definedName name="solver_rhs2" localSheetId="3" hidden="1">Sheet5!$D$65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5" l="1" a="1"/>
  <c r="I14" i="5" s="1"/>
  <c r="J14" i="5" a="1"/>
  <c r="J14" i="5"/>
  <c r="K14" i="5" a="1"/>
  <c r="K14" i="5"/>
  <c r="L14" i="5" a="1"/>
  <c r="L14" i="5"/>
  <c r="M14" i="5" a="1"/>
  <c r="M14" i="5" s="1"/>
  <c r="N14" i="5" a="1"/>
  <c r="N14" i="5" s="1"/>
  <c r="O14" i="5" a="1"/>
  <c r="O14" i="5"/>
  <c r="P14" i="5" a="1"/>
  <c r="P14" i="5" s="1"/>
  <c r="Q14" i="5" a="1"/>
  <c r="Q14" i="5" s="1"/>
  <c r="I15" i="5" a="1"/>
  <c r="I15" i="5"/>
  <c r="J15" i="5" a="1"/>
  <c r="J15" i="5" s="1"/>
  <c r="K15" i="5" a="1"/>
  <c r="K15" i="5" s="1"/>
  <c r="L15" i="5" a="1"/>
  <c r="L15" i="5" s="1"/>
  <c r="M15" i="5" a="1"/>
  <c r="M15" i="5" s="1"/>
  <c r="N15" i="5" a="1"/>
  <c r="N15" i="5" s="1"/>
  <c r="O15" i="5" a="1"/>
  <c r="O15" i="5" s="1"/>
  <c r="P15" i="5" a="1"/>
  <c r="P15" i="5" s="1"/>
  <c r="Q15" i="5" a="1"/>
  <c r="Q15" i="5" s="1"/>
  <c r="J9" i="5"/>
  <c r="K9" i="5"/>
  <c r="L9" i="5"/>
  <c r="M9" i="5"/>
  <c r="N9" i="5"/>
  <c r="O9" i="5"/>
  <c r="P9" i="5"/>
  <c r="Q9" i="5"/>
  <c r="J10" i="5"/>
  <c r="K10" i="5"/>
  <c r="L10" i="5"/>
  <c r="M10" i="5"/>
  <c r="N10" i="5"/>
  <c r="O10" i="5"/>
  <c r="P10" i="5"/>
  <c r="Q10" i="5"/>
  <c r="J11" i="5"/>
  <c r="K11" i="5"/>
  <c r="L11" i="5"/>
  <c r="M11" i="5"/>
  <c r="N11" i="5"/>
  <c r="O11" i="5"/>
  <c r="P11" i="5"/>
  <c r="Q11" i="5"/>
  <c r="J12" i="5"/>
  <c r="K12" i="5"/>
  <c r="L12" i="5"/>
  <c r="M12" i="5"/>
  <c r="N12" i="5"/>
  <c r="O12" i="5"/>
  <c r="P12" i="5"/>
  <c r="Q12" i="5"/>
  <c r="I12" i="5"/>
  <c r="I10" i="5"/>
  <c r="I11" i="5"/>
  <c r="I9" i="5"/>
  <c r="R14" i="5" l="1" a="1"/>
  <c r="R14" i="5" s="1"/>
  <c r="R15" i="5" a="1"/>
  <c r="R15" i="5" s="1"/>
  <c r="R12" i="5"/>
  <c r="C65" i="5"/>
  <c r="H14" i="5" s="1" a="1"/>
  <c r="H14" i="5" s="1"/>
  <c r="D65" i="5"/>
  <c r="B65" i="5"/>
  <c r="E66" i="3"/>
  <c r="H12" i="5"/>
  <c r="H3" i="5" l="1" a="1"/>
  <c r="H3" i="5" s="1"/>
  <c r="H15" i="5" s="1" a="1"/>
  <c r="H15" i="5" s="1"/>
  <c r="C66" i="5" l="1"/>
  <c r="D66" i="5"/>
  <c r="B66" i="5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3" i="3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3" i="2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<sst xmlns="http://schemas.openxmlformats.org/spreadsheetml/2006/main" count="37" uniqueCount="23">
  <si>
    <t>Date</t>
  </si>
  <si>
    <t>Adj Close</t>
  </si>
  <si>
    <t>Returns</t>
  </si>
  <si>
    <t>BRK.B</t>
  </si>
  <si>
    <t>NKE</t>
  </si>
  <si>
    <t>TTE</t>
  </si>
  <si>
    <t>RETURNS</t>
  </si>
  <si>
    <t>ST DEV</t>
  </si>
  <si>
    <t>CO-VARIANCE MATRIX</t>
  </si>
  <si>
    <t>PORTFOLIO RETURN</t>
  </si>
  <si>
    <t>SUM of WEIGHTS</t>
  </si>
  <si>
    <t>PORTFOLIO RISK</t>
  </si>
  <si>
    <t>MIN. VAR PF</t>
  </si>
  <si>
    <t>MAX RET PF</t>
  </si>
  <si>
    <t>PF2</t>
  </si>
  <si>
    <t>PF3</t>
  </si>
  <si>
    <t>PF4</t>
  </si>
  <si>
    <t>PF5</t>
  </si>
  <si>
    <t>PF6</t>
  </si>
  <si>
    <t>PF7</t>
  </si>
  <si>
    <t>PF8</t>
  </si>
  <si>
    <t>PF9</t>
  </si>
  <si>
    <t>PF10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</si>
</sst>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2" fontId="0" fillId="0" borderId="0" xfId="0" applyNumberFormat="1"/>
    <xf numFmtId="9" fontId="0" fillId="0" borderId="0" xfId="1" applyFont="1"/>
    <xf numFmtId="10" fontId="0" fillId="0" borderId="0" xfId="1" applyNumberFormat="1" applyFont="1"/>
    <xf numFmtId="0" fontId="0" fillId="0" borderId="1" xfId="0" applyBorder="1"/>
    <xf numFmtId="10" fontId="2" fillId="0" borderId="1" xfId="1" applyNumberFormat="1" applyFont="1" applyBorder="1"/>
    <xf numFmtId="0" fontId="2" fillId="0" borderId="1" xfId="0" applyFont="1" applyBorder="1"/>
    <xf numFmtId="9" fontId="0" fillId="0" borderId="0" xfId="0" applyNumberFormat="1"/>
    <xf numFmtId="14" fontId="0" fillId="0" borderId="1" xfId="0" applyNumberFormat="1" applyBorder="1"/>
    <xf numFmtId="10" fontId="0" fillId="0" borderId="1" xfId="1" applyNumberFormat="1" applyFont="1" applyBorder="1"/>
    <xf numFmtId="0" fontId="2" fillId="2" borderId="1" xfId="0" applyFont="1" applyFill="1" applyBorder="1"/>
    <xf numFmtId="10" fontId="2" fillId="2" borderId="1" xfId="1" applyNumberFormat="1" applyFont="1" applyFill="1" applyBorder="1"/>
    <xf numFmtId="9" fontId="0" fillId="0" borderId="1" xfId="0" applyNumberFormat="1" applyBorder="1"/>
    <xf numFmtId="10" fontId="0" fillId="0" borderId="1" xfId="0" applyNumberFormat="1" applyBorder="1"/>
    <xf numFmtId="10" fontId="2" fillId="0" borderId="1" xfId="0" applyNumberFormat="1" applyFont="1" applyBorder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74374453193350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Efficient Frontier</c:v>
          </c:tx>
          <c:spPr>
            <a:ln w="25400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Sheet5!$H$15:$R$15</c:f>
              <c:numCache>
                <c:formatCode>0.00%</c:formatCode>
                <c:ptCount val="11"/>
                <c:pt idx="0">
                  <c:v>0.25821122416842879</c:v>
                </c:pt>
                <c:pt idx="1">
                  <c:v>0.26009059159093312</c:v>
                </c:pt>
                <c:pt idx="2">
                  <c:v>0.26564894854600035</c:v>
                </c:pt>
                <c:pt idx="3">
                  <c:v>0.27466303059381797</c:v>
                </c:pt>
                <c:pt idx="4">
                  <c:v>0.28680719197446336</c:v>
                </c:pt>
                <c:pt idx="5">
                  <c:v>0.3017036937849516</c:v>
                </c:pt>
                <c:pt idx="6">
                  <c:v>0.31896714689855127</c:v>
                </c:pt>
                <c:pt idx="7">
                  <c:v>0.33823531932610351</c:v>
                </c:pt>
                <c:pt idx="8">
                  <c:v>0.35918573212277172</c:v>
                </c:pt>
                <c:pt idx="9">
                  <c:v>0.381541370710206</c:v>
                </c:pt>
                <c:pt idx="10">
                  <c:v>0.40506964024496472</c:v>
                </c:pt>
              </c:numCache>
            </c:numRef>
          </c:xVal>
          <c:yVal>
            <c:numRef>
              <c:f>Sheet5!$H$14:$R$14</c:f>
              <c:numCache>
                <c:formatCode>0.00%</c:formatCode>
                <c:ptCount val="11"/>
                <c:pt idx="0">
                  <c:v>1.0591792278390282E-2</c:v>
                </c:pt>
                <c:pt idx="1">
                  <c:v>1.0648413850082951E-2</c:v>
                </c:pt>
                <c:pt idx="2">
                  <c:v>1.0705035421775623E-2</c:v>
                </c:pt>
                <c:pt idx="3">
                  <c:v>1.076165699346829E-2</c:v>
                </c:pt>
                <c:pt idx="4">
                  <c:v>1.081827856516096E-2</c:v>
                </c:pt>
                <c:pt idx="5">
                  <c:v>1.0874900136853632E-2</c:v>
                </c:pt>
                <c:pt idx="6">
                  <c:v>1.0931521708546301E-2</c:v>
                </c:pt>
                <c:pt idx="7">
                  <c:v>1.098814328023897E-2</c:v>
                </c:pt>
                <c:pt idx="8">
                  <c:v>1.1044764851931644E-2</c:v>
                </c:pt>
                <c:pt idx="9">
                  <c:v>1.1101386423624314E-2</c:v>
                </c:pt>
                <c:pt idx="10">
                  <c:v>1.1158007995316983E-2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45-4210-BB47-904A0F2E2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05600"/>
        <c:axId val="173241296"/>
      </c:scatterChart>
      <c:valAx>
        <c:axId val="21120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41296"/>
        <c:crosses val="autoZero"/>
        <c:crossBetween val="midCat"/>
      </c:valAx>
      <c:valAx>
        <c:axId val="17324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0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384175</xdr:colOff>
      <xdr:row>16</xdr:row>
      <xdr:rowOff>50800</xdr:rowOff>
    </xdr:from>
    <xdr:to>
      <xdr:col>14</xdr:col>
      <xdr:colOff>288925</xdr:colOff>
      <xdr:row>31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5C5E9A-0643-5FCA-9CA3-B27CF3DF4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99B7-0C06-411D-AADD-8A58E9229F61}">
  <dimension ref="A1:G64"/>
  <sheetViews>
    <sheetView workbookViewId="0">
      <selection activeCell="E24" sqref="E24"/>
    </sheetView>
  </sheetViews>
  <sheetFormatPr defaultRowHeight="14.5" x14ac:dyDescent="0.35"/>
  <cols>
    <col min="1" max="1" width="9.453125" bestFit="1" customWidth="1"/>
    <col min="2" max="2" width="10.90625" bestFit="1" customWidth="1"/>
    <col min="3" max="3" width="7.26953125" bestFit="1" customWidth="1"/>
    <col min="4" max="6" width="10.90625" bestFit="1" customWidth="1"/>
    <col min="7" max="7" width="15.453125" bestFit="1" customWidth="1"/>
  </cols>
  <sheetData>
    <row r="1" spans="1:7" x14ac:dyDescent="0.35">
      <c r="A1" t="s">
        <v>0</v>
      </c>
      <c r="B1" t="s">
        <v>1</v>
      </c>
      <c r="C1" t="s">
        <v>2</v>
      </c>
    </row>
    <row r="2" spans="1:7" x14ac:dyDescent="0.35">
      <c r="A2" s="1">
        <v>43374</v>
      </c>
      <c r="B2" s="2">
        <v>205.279999</v>
      </c>
      <c r="C2" s="2"/>
      <c r="D2" s="2"/>
      <c r="E2" s="2"/>
      <c r="G2" s="2"/>
    </row>
    <row r="3" spans="1:7" x14ac:dyDescent="0.35">
      <c r="A3" s="1">
        <v>43405</v>
      </c>
      <c r="B3" s="2">
        <v>218.240005</v>
      </c>
      <c r="C3" s="3">
        <f>(B3-B2)/B2</f>
        <v>6.3133310907703161E-2</v>
      </c>
      <c r="D3" s="2"/>
      <c r="E3" s="2"/>
      <c r="G3" s="2"/>
    </row>
    <row r="4" spans="1:7" x14ac:dyDescent="0.35">
      <c r="A4" s="1">
        <v>43435</v>
      </c>
      <c r="B4" s="2">
        <v>204.179993</v>
      </c>
      <c r="C4" s="3">
        <f t="shared" ref="C4:C64" si="0">(B4-B3)/B3</f>
        <v>-6.4424540312854189E-2</v>
      </c>
      <c r="D4" s="2"/>
      <c r="E4" s="2"/>
      <c r="G4" s="2"/>
    </row>
    <row r="5" spans="1:7" x14ac:dyDescent="0.35">
      <c r="A5" s="1">
        <v>43466</v>
      </c>
      <c r="B5" s="2">
        <v>205.53999300000001</v>
      </c>
      <c r="C5" s="3">
        <f t="shared" si="0"/>
        <v>6.6607897278163474E-3</v>
      </c>
      <c r="D5" s="2"/>
      <c r="E5" s="2"/>
      <c r="G5" s="2"/>
    </row>
    <row r="6" spans="1:7" x14ac:dyDescent="0.35">
      <c r="A6" s="1">
        <v>43497</v>
      </c>
      <c r="B6" s="2">
        <v>201.300003</v>
      </c>
      <c r="C6" s="3">
        <f t="shared" si="0"/>
        <v>-2.0628540159578608E-2</v>
      </c>
      <c r="D6" s="2"/>
      <c r="E6" s="2"/>
      <c r="G6" s="2"/>
    </row>
    <row r="7" spans="1:7" x14ac:dyDescent="0.35">
      <c r="A7" s="1">
        <v>43525</v>
      </c>
      <c r="B7" s="2">
        <v>200.88999899999999</v>
      </c>
      <c r="C7" s="3">
        <f t="shared" si="0"/>
        <v>-2.0367808936397032E-3</v>
      </c>
      <c r="D7" s="2"/>
      <c r="E7" s="2"/>
      <c r="G7" s="2"/>
    </row>
    <row r="8" spans="1:7" x14ac:dyDescent="0.35">
      <c r="A8" s="1">
        <v>43556</v>
      </c>
      <c r="B8" s="2">
        <v>216.71000699999999</v>
      </c>
      <c r="C8" s="3">
        <f t="shared" si="0"/>
        <v>7.8749604653041996E-2</v>
      </c>
      <c r="D8" s="2"/>
      <c r="E8" s="2"/>
      <c r="G8" s="2"/>
    </row>
    <row r="9" spans="1:7" x14ac:dyDescent="0.35">
      <c r="A9" s="1">
        <v>43586</v>
      </c>
      <c r="B9" s="2">
        <v>197.41999799999999</v>
      </c>
      <c r="C9" s="3">
        <f t="shared" si="0"/>
        <v>-8.9013005292367497E-2</v>
      </c>
      <c r="D9" s="2"/>
      <c r="E9" s="2"/>
      <c r="G9" s="2"/>
    </row>
    <row r="10" spans="1:7" x14ac:dyDescent="0.35">
      <c r="A10" s="1">
        <v>43617</v>
      </c>
      <c r="B10" s="2">
        <v>213.16999799999999</v>
      </c>
      <c r="C10" s="3">
        <f t="shared" si="0"/>
        <v>7.9779151856743516E-2</v>
      </c>
      <c r="D10" s="2"/>
      <c r="E10" s="2"/>
      <c r="G10" s="2"/>
    </row>
    <row r="11" spans="1:7" x14ac:dyDescent="0.35">
      <c r="A11" s="1">
        <v>43647</v>
      </c>
      <c r="B11" s="2">
        <v>205.429993</v>
      </c>
      <c r="C11" s="3">
        <f t="shared" si="0"/>
        <v>-3.6309072911845673E-2</v>
      </c>
      <c r="D11" s="2"/>
      <c r="E11" s="2"/>
      <c r="G11" s="2"/>
    </row>
    <row r="12" spans="1:7" x14ac:dyDescent="0.35">
      <c r="A12" s="1">
        <v>43678</v>
      </c>
      <c r="B12" s="2">
        <v>203.41000399999999</v>
      </c>
      <c r="C12" s="3">
        <f t="shared" si="0"/>
        <v>-9.8329799388155049E-3</v>
      </c>
      <c r="D12" s="2"/>
      <c r="E12" s="2"/>
      <c r="G12" s="2"/>
    </row>
    <row r="13" spans="1:7" x14ac:dyDescent="0.35">
      <c r="A13" s="1">
        <v>43709</v>
      </c>
      <c r="B13" s="2">
        <v>208.020004</v>
      </c>
      <c r="C13" s="3">
        <f t="shared" si="0"/>
        <v>2.2663585415395864E-2</v>
      </c>
      <c r="D13" s="2"/>
      <c r="E13" s="2"/>
      <c r="G13" s="2"/>
    </row>
    <row r="14" spans="1:7" x14ac:dyDescent="0.35">
      <c r="A14" s="1">
        <v>43739</v>
      </c>
      <c r="B14" s="2">
        <v>212.58000200000001</v>
      </c>
      <c r="C14" s="3">
        <f t="shared" si="0"/>
        <v>2.1920959101606435E-2</v>
      </c>
      <c r="D14" s="2"/>
      <c r="E14" s="2"/>
      <c r="G14" s="2"/>
    </row>
    <row r="15" spans="1:7" x14ac:dyDescent="0.35">
      <c r="A15" s="1">
        <v>43770</v>
      </c>
      <c r="B15" s="2">
        <v>220.300003</v>
      </c>
      <c r="C15" s="3">
        <f t="shared" si="0"/>
        <v>3.631574431916694E-2</v>
      </c>
      <c r="D15" s="2"/>
      <c r="E15" s="2"/>
      <c r="G15" s="2"/>
    </row>
    <row r="16" spans="1:7" x14ac:dyDescent="0.35">
      <c r="A16" s="1">
        <v>43800</v>
      </c>
      <c r="B16" s="2">
        <v>226.5</v>
      </c>
      <c r="C16" s="3">
        <f t="shared" si="0"/>
        <v>2.8143426761551137E-2</v>
      </c>
      <c r="D16" s="2"/>
      <c r="E16" s="2"/>
      <c r="G16" s="2"/>
    </row>
    <row r="17" spans="1:7" x14ac:dyDescent="0.35">
      <c r="A17" s="1">
        <v>43831</v>
      </c>
      <c r="B17" s="2">
        <v>224.429993</v>
      </c>
      <c r="C17" s="3">
        <f t="shared" si="0"/>
        <v>-9.1391037527593991E-3</v>
      </c>
      <c r="D17" s="2"/>
      <c r="E17" s="2"/>
      <c r="G17" s="2"/>
    </row>
    <row r="18" spans="1:7" x14ac:dyDescent="0.35">
      <c r="A18" s="1">
        <v>43862</v>
      </c>
      <c r="B18" s="2">
        <v>206.33999600000001</v>
      </c>
      <c r="C18" s="3">
        <f t="shared" si="0"/>
        <v>-8.060418644668399E-2</v>
      </c>
      <c r="D18" s="2"/>
      <c r="E18" s="2"/>
      <c r="G18" s="2"/>
    </row>
    <row r="19" spans="1:7" x14ac:dyDescent="0.35">
      <c r="A19" s="1">
        <v>43891</v>
      </c>
      <c r="B19" s="2">
        <v>182.83000200000001</v>
      </c>
      <c r="C19" s="3">
        <f t="shared" si="0"/>
        <v>-0.11393813344844693</v>
      </c>
      <c r="D19" s="2"/>
      <c r="E19" s="2"/>
      <c r="G19" s="2"/>
    </row>
    <row r="20" spans="1:7" x14ac:dyDescent="0.35">
      <c r="A20" s="1">
        <v>43922</v>
      </c>
      <c r="B20" s="2">
        <v>187.36000100000001</v>
      </c>
      <c r="C20" s="3">
        <f t="shared" si="0"/>
        <v>2.4777109612458482E-2</v>
      </c>
      <c r="D20" s="2"/>
      <c r="E20" s="2"/>
      <c r="G20" s="2"/>
    </row>
    <row r="21" spans="1:7" x14ac:dyDescent="0.35">
      <c r="A21" s="1">
        <v>43952</v>
      </c>
      <c r="B21" s="2">
        <v>185.58000200000001</v>
      </c>
      <c r="C21" s="3">
        <f t="shared" si="0"/>
        <v>-9.5004215974572054E-3</v>
      </c>
      <c r="D21" s="2"/>
      <c r="E21" s="2"/>
      <c r="G21" s="2"/>
    </row>
    <row r="22" spans="1:7" x14ac:dyDescent="0.35">
      <c r="A22" s="1">
        <v>43983</v>
      </c>
      <c r="B22" s="2">
        <v>178.509995</v>
      </c>
      <c r="C22" s="3">
        <f t="shared" si="0"/>
        <v>-3.809681497901915E-2</v>
      </c>
      <c r="D22" s="2"/>
      <c r="E22" s="2"/>
      <c r="G22" s="2"/>
    </row>
    <row r="23" spans="1:7" x14ac:dyDescent="0.35">
      <c r="A23" s="1">
        <v>44013</v>
      </c>
      <c r="B23" s="2">
        <v>195.779999</v>
      </c>
      <c r="C23" s="3">
        <f t="shared" si="0"/>
        <v>9.6745305493958475E-2</v>
      </c>
      <c r="D23" s="2"/>
      <c r="E23" s="2"/>
      <c r="G23" s="2"/>
    </row>
    <row r="24" spans="1:7" x14ac:dyDescent="0.35">
      <c r="A24" s="1">
        <v>44044</v>
      </c>
      <c r="B24" s="2">
        <v>218.03999300000001</v>
      </c>
      <c r="C24" s="3">
        <f t="shared" si="0"/>
        <v>0.11369901988813477</v>
      </c>
      <c r="D24" s="2"/>
      <c r="E24" s="2"/>
      <c r="G24" s="2"/>
    </row>
    <row r="25" spans="1:7" x14ac:dyDescent="0.35">
      <c r="A25" s="1">
        <v>44075</v>
      </c>
      <c r="B25" s="2">
        <v>212.94000199999999</v>
      </c>
      <c r="C25" s="3">
        <f t="shared" si="0"/>
        <v>-2.3390163106453671E-2</v>
      </c>
      <c r="D25" s="2"/>
      <c r="E25" s="2"/>
      <c r="G25" s="2"/>
    </row>
    <row r="26" spans="1:7" x14ac:dyDescent="0.35">
      <c r="A26" s="1">
        <v>44105</v>
      </c>
      <c r="B26" s="2">
        <v>201.89999399999999</v>
      </c>
      <c r="C26" s="3">
        <f t="shared" si="0"/>
        <v>-5.1845627389446536E-2</v>
      </c>
      <c r="D26" s="2"/>
      <c r="E26" s="2"/>
      <c r="G26" s="2"/>
    </row>
    <row r="27" spans="1:7" x14ac:dyDescent="0.35">
      <c r="A27" s="1">
        <v>44136</v>
      </c>
      <c r="B27" s="2">
        <v>228.91000399999999</v>
      </c>
      <c r="C27" s="3">
        <f t="shared" si="0"/>
        <v>0.13377915206872168</v>
      </c>
      <c r="D27" s="2"/>
      <c r="E27" s="2"/>
      <c r="G27" s="2"/>
    </row>
    <row r="28" spans="1:7" x14ac:dyDescent="0.35">
      <c r="A28" s="1">
        <v>44166</v>
      </c>
      <c r="B28" s="2">
        <v>231.86999499999999</v>
      </c>
      <c r="C28" s="3">
        <f t="shared" si="0"/>
        <v>1.293080664137336E-2</v>
      </c>
      <c r="D28" s="2"/>
      <c r="E28" s="2"/>
      <c r="G28" s="2"/>
    </row>
    <row r="29" spans="1:7" x14ac:dyDescent="0.35">
      <c r="A29" s="1">
        <v>44197</v>
      </c>
      <c r="B29" s="2">
        <v>227.86999499999999</v>
      </c>
      <c r="C29" s="3">
        <f t="shared" si="0"/>
        <v>-1.725104621665257E-2</v>
      </c>
      <c r="D29" s="2"/>
      <c r="E29" s="2"/>
      <c r="G29" s="2"/>
    </row>
    <row r="30" spans="1:7" x14ac:dyDescent="0.35">
      <c r="A30" s="1">
        <v>44228</v>
      </c>
      <c r="B30" s="2">
        <v>240.509995</v>
      </c>
      <c r="C30" s="3">
        <f t="shared" si="0"/>
        <v>5.5470225467815611E-2</v>
      </c>
      <c r="D30" s="2"/>
      <c r="E30" s="2"/>
      <c r="G30" s="2"/>
    </row>
    <row r="31" spans="1:7" x14ac:dyDescent="0.35">
      <c r="A31" s="1">
        <v>44256</v>
      </c>
      <c r="B31" s="2">
        <v>255.470001</v>
      </c>
      <c r="C31" s="3">
        <f t="shared" si="0"/>
        <v>6.2201182117192229E-2</v>
      </c>
      <c r="D31" s="2"/>
      <c r="E31" s="2"/>
      <c r="G31" s="2"/>
    </row>
    <row r="32" spans="1:7" x14ac:dyDescent="0.35">
      <c r="A32" s="1">
        <v>44287</v>
      </c>
      <c r="B32" s="2">
        <v>274.95001200000002</v>
      </c>
      <c r="C32" s="3">
        <f t="shared" si="0"/>
        <v>7.6251657430415939E-2</v>
      </c>
      <c r="D32" s="2"/>
      <c r="E32" s="2"/>
      <c r="G32" s="2"/>
    </row>
    <row r="33" spans="1:7" x14ac:dyDescent="0.35">
      <c r="A33" s="1">
        <v>44317</v>
      </c>
      <c r="B33" s="2">
        <v>289.44000199999999</v>
      </c>
      <c r="C33" s="3">
        <f t="shared" si="0"/>
        <v>5.2700452328039819E-2</v>
      </c>
      <c r="D33" s="2"/>
      <c r="E33" s="2"/>
      <c r="G33" s="2"/>
    </row>
    <row r="34" spans="1:7" x14ac:dyDescent="0.35">
      <c r="A34" s="1">
        <v>44348</v>
      </c>
      <c r="B34" s="2">
        <v>277.92001299999998</v>
      </c>
      <c r="C34" s="3">
        <f t="shared" si="0"/>
        <v>-3.9800956745432894E-2</v>
      </c>
      <c r="D34" s="2"/>
      <c r="E34" s="2"/>
      <c r="G34" s="2"/>
    </row>
    <row r="35" spans="1:7" x14ac:dyDescent="0.35">
      <c r="A35" s="1">
        <v>44378</v>
      </c>
      <c r="B35" s="2">
        <v>278.290009</v>
      </c>
      <c r="C35" s="3">
        <f t="shared" si="0"/>
        <v>1.3313039100930622E-3</v>
      </c>
      <c r="D35" s="2"/>
      <c r="E35" s="2"/>
      <c r="G35" s="2"/>
    </row>
    <row r="36" spans="1:7" x14ac:dyDescent="0.35">
      <c r="A36" s="1">
        <v>44409</v>
      </c>
      <c r="B36" s="2">
        <v>285.76998900000001</v>
      </c>
      <c r="C36" s="3">
        <f t="shared" si="0"/>
        <v>2.6878363426981713E-2</v>
      </c>
      <c r="D36" s="2"/>
      <c r="E36" s="2"/>
      <c r="G36" s="2"/>
    </row>
    <row r="37" spans="1:7" x14ac:dyDescent="0.35">
      <c r="A37" s="1">
        <v>44440</v>
      </c>
      <c r="B37" s="2">
        <v>272.94000199999999</v>
      </c>
      <c r="C37" s="3">
        <f t="shared" si="0"/>
        <v>-4.4896201469217314E-2</v>
      </c>
      <c r="D37" s="2"/>
      <c r="E37" s="2"/>
      <c r="G37" s="2"/>
    </row>
    <row r="38" spans="1:7" x14ac:dyDescent="0.35">
      <c r="A38" s="1">
        <v>44470</v>
      </c>
      <c r="B38" s="2">
        <v>287.01001000000002</v>
      </c>
      <c r="C38" s="3">
        <f t="shared" si="0"/>
        <v>5.1549820095626843E-2</v>
      </c>
      <c r="D38" s="2"/>
      <c r="E38" s="2"/>
      <c r="G38" s="2"/>
    </row>
    <row r="39" spans="1:7" x14ac:dyDescent="0.35">
      <c r="A39" s="1">
        <v>44501</v>
      </c>
      <c r="B39" s="2">
        <v>276.69000199999999</v>
      </c>
      <c r="C39" s="3">
        <f t="shared" si="0"/>
        <v>-3.5956961919202848E-2</v>
      </c>
      <c r="D39" s="2"/>
      <c r="E39" s="2"/>
      <c r="G39" s="2"/>
    </row>
    <row r="40" spans="1:7" x14ac:dyDescent="0.35">
      <c r="A40" s="1">
        <v>44531</v>
      </c>
      <c r="B40" s="2">
        <v>299</v>
      </c>
      <c r="C40" s="3">
        <f t="shared" si="0"/>
        <v>8.0631746137325225E-2</v>
      </c>
      <c r="D40" s="2"/>
      <c r="E40" s="2"/>
      <c r="G40" s="2"/>
    </row>
    <row r="41" spans="1:7" x14ac:dyDescent="0.35">
      <c r="A41" s="1">
        <v>44562</v>
      </c>
      <c r="B41" s="2">
        <v>313.01998900000001</v>
      </c>
      <c r="C41" s="3">
        <f t="shared" si="0"/>
        <v>4.6889595317725782E-2</v>
      </c>
      <c r="D41" s="2"/>
      <c r="E41" s="2"/>
      <c r="G41" s="2"/>
    </row>
    <row r="42" spans="1:7" x14ac:dyDescent="0.35">
      <c r="A42" s="1">
        <v>44593</v>
      </c>
      <c r="B42" s="2">
        <v>321.45001200000002</v>
      </c>
      <c r="C42" s="3">
        <f t="shared" si="0"/>
        <v>2.6931260929793227E-2</v>
      </c>
      <c r="D42" s="2"/>
      <c r="E42" s="2"/>
      <c r="G42" s="2"/>
    </row>
    <row r="43" spans="1:7" x14ac:dyDescent="0.35">
      <c r="A43" s="1">
        <v>44621</v>
      </c>
      <c r="B43" s="2">
        <v>352.91000400000001</v>
      </c>
      <c r="C43" s="3">
        <f t="shared" si="0"/>
        <v>9.7869002412729722E-2</v>
      </c>
      <c r="D43" s="2"/>
      <c r="E43" s="2"/>
      <c r="G43" s="2"/>
    </row>
    <row r="44" spans="1:7" x14ac:dyDescent="0.35">
      <c r="A44" s="1">
        <v>44652</v>
      </c>
      <c r="B44" s="2">
        <v>322.82998700000002</v>
      </c>
      <c r="C44" s="3">
        <f t="shared" si="0"/>
        <v>-8.5234242892134049E-2</v>
      </c>
      <c r="D44" s="2"/>
      <c r="E44" s="2"/>
      <c r="G44" s="2"/>
    </row>
    <row r="45" spans="1:7" x14ac:dyDescent="0.35">
      <c r="A45" s="1">
        <v>44682</v>
      </c>
      <c r="B45" s="2">
        <v>315.98001099999999</v>
      </c>
      <c r="C45" s="3">
        <f t="shared" si="0"/>
        <v>-2.1218524535640569E-2</v>
      </c>
      <c r="D45" s="2"/>
      <c r="E45" s="2"/>
      <c r="G45" s="2"/>
    </row>
    <row r="46" spans="1:7" x14ac:dyDescent="0.35">
      <c r="A46" s="1">
        <v>44713</v>
      </c>
      <c r="B46" s="2">
        <v>273.01998900000001</v>
      </c>
      <c r="C46" s="3">
        <f t="shared" si="0"/>
        <v>-0.13595803691518948</v>
      </c>
      <c r="D46" s="2"/>
      <c r="E46" s="2"/>
      <c r="G46" s="2"/>
    </row>
    <row r="47" spans="1:7" x14ac:dyDescent="0.35">
      <c r="A47" s="1">
        <v>44743</v>
      </c>
      <c r="B47" s="2">
        <v>300.60000600000001</v>
      </c>
      <c r="C47" s="3">
        <f t="shared" si="0"/>
        <v>0.10101830675848425</v>
      </c>
      <c r="D47" s="2"/>
      <c r="E47" s="2"/>
      <c r="G47" s="2"/>
    </row>
    <row r="48" spans="1:7" x14ac:dyDescent="0.35">
      <c r="A48" s="1">
        <v>44774</v>
      </c>
      <c r="B48" s="2">
        <v>280.79998799999998</v>
      </c>
      <c r="C48" s="3">
        <f t="shared" si="0"/>
        <v>-6.5868322038556526E-2</v>
      </c>
      <c r="D48" s="2"/>
      <c r="E48" s="2"/>
      <c r="G48" s="2"/>
    </row>
    <row r="49" spans="1:7" x14ac:dyDescent="0.35">
      <c r="A49" s="1">
        <v>44805</v>
      </c>
      <c r="B49" s="2">
        <v>267.01998900000001</v>
      </c>
      <c r="C49" s="3">
        <f t="shared" si="0"/>
        <v>-4.9074072610003017E-2</v>
      </c>
      <c r="D49" s="2"/>
      <c r="E49" s="2"/>
      <c r="G49" s="2"/>
    </row>
    <row r="50" spans="1:7" x14ac:dyDescent="0.35">
      <c r="A50" s="1">
        <v>44835</v>
      </c>
      <c r="B50" s="2">
        <v>295.08999599999999</v>
      </c>
      <c r="C50" s="3">
        <f t="shared" si="0"/>
        <v>0.105123242290299</v>
      </c>
      <c r="D50" s="2"/>
      <c r="E50" s="2"/>
      <c r="G50" s="2"/>
    </row>
    <row r="51" spans="1:7" x14ac:dyDescent="0.35">
      <c r="A51" s="1">
        <v>44866</v>
      </c>
      <c r="B51" s="2">
        <v>318.60000600000001</v>
      </c>
      <c r="C51" s="3">
        <f t="shared" si="0"/>
        <v>7.9670643934672811E-2</v>
      </c>
      <c r="D51" s="2"/>
      <c r="E51" s="2"/>
      <c r="G51" s="2"/>
    </row>
    <row r="52" spans="1:7" x14ac:dyDescent="0.35">
      <c r="A52" s="1">
        <v>44896</v>
      </c>
      <c r="B52" s="2">
        <v>308.89999399999999</v>
      </c>
      <c r="C52" s="3">
        <f t="shared" si="0"/>
        <v>-3.044573702864279E-2</v>
      </c>
      <c r="D52" s="2"/>
      <c r="E52" s="2"/>
      <c r="G52" s="2"/>
    </row>
    <row r="53" spans="1:7" x14ac:dyDescent="0.35">
      <c r="A53" s="1">
        <v>44927</v>
      </c>
      <c r="B53" s="2">
        <v>311.51998900000001</v>
      </c>
      <c r="C53" s="3">
        <f t="shared" si="0"/>
        <v>8.4816932693110286E-3</v>
      </c>
      <c r="D53" s="2"/>
      <c r="E53" s="2"/>
      <c r="G53" s="2"/>
    </row>
    <row r="54" spans="1:7" x14ac:dyDescent="0.35">
      <c r="A54" s="1">
        <v>44958</v>
      </c>
      <c r="B54" s="2">
        <v>305.17999300000002</v>
      </c>
      <c r="C54" s="3">
        <f t="shared" si="0"/>
        <v>-2.0351811196295286E-2</v>
      </c>
      <c r="D54" s="2"/>
      <c r="E54" s="2"/>
      <c r="G54" s="2"/>
    </row>
    <row r="55" spans="1:7" x14ac:dyDescent="0.35">
      <c r="A55" s="1">
        <v>44986</v>
      </c>
      <c r="B55" s="2">
        <v>308.76998900000001</v>
      </c>
      <c r="C55" s="3">
        <f t="shared" si="0"/>
        <v>1.1763536543498069E-2</v>
      </c>
      <c r="D55" s="2"/>
      <c r="E55" s="2"/>
      <c r="G55" s="2"/>
    </row>
    <row r="56" spans="1:7" x14ac:dyDescent="0.35">
      <c r="A56" s="1">
        <v>45017</v>
      </c>
      <c r="B56" s="2">
        <v>328.54998799999998</v>
      </c>
      <c r="C56" s="3">
        <f t="shared" si="0"/>
        <v>6.4060626695167502E-2</v>
      </c>
      <c r="D56" s="2"/>
      <c r="E56" s="2"/>
      <c r="G56" s="2"/>
    </row>
    <row r="57" spans="1:7" x14ac:dyDescent="0.35">
      <c r="A57" s="1">
        <v>45047</v>
      </c>
      <c r="B57" s="2">
        <v>321.07998700000002</v>
      </c>
      <c r="C57" s="3">
        <f t="shared" si="0"/>
        <v>-2.2736269282712523E-2</v>
      </c>
      <c r="D57" s="2"/>
      <c r="E57" s="2"/>
      <c r="G57" s="2"/>
    </row>
    <row r="58" spans="1:7" x14ac:dyDescent="0.35">
      <c r="A58" s="1">
        <v>45078</v>
      </c>
      <c r="B58" s="2">
        <v>341</v>
      </c>
      <c r="C58" s="3">
        <f t="shared" si="0"/>
        <v>6.2040655931632334E-2</v>
      </c>
      <c r="D58" s="2"/>
      <c r="E58" s="2"/>
      <c r="G58" s="2"/>
    </row>
    <row r="59" spans="1:7" x14ac:dyDescent="0.35">
      <c r="A59" s="1">
        <v>45108</v>
      </c>
      <c r="B59" s="2">
        <v>351.959991</v>
      </c>
      <c r="C59" s="3">
        <f t="shared" si="0"/>
        <v>3.2140736070381239E-2</v>
      </c>
      <c r="D59" s="2"/>
      <c r="E59" s="2"/>
      <c r="G59" s="2"/>
    </row>
    <row r="60" spans="1:7" x14ac:dyDescent="0.35">
      <c r="A60" s="1">
        <v>45139</v>
      </c>
      <c r="B60" s="2">
        <v>360.20001200000002</v>
      </c>
      <c r="C60" s="3">
        <f t="shared" si="0"/>
        <v>2.3411811599915663E-2</v>
      </c>
      <c r="D60" s="2"/>
      <c r="E60" s="2"/>
      <c r="G60" s="2"/>
    </row>
    <row r="61" spans="1:7" x14ac:dyDescent="0.35">
      <c r="A61" s="1">
        <v>45170</v>
      </c>
      <c r="B61" s="2">
        <v>350.29998799999998</v>
      </c>
      <c r="C61" s="3">
        <f t="shared" si="0"/>
        <v>-2.7484796419162891E-2</v>
      </c>
      <c r="D61" s="2"/>
      <c r="E61" s="2"/>
      <c r="G61" s="2"/>
    </row>
    <row r="62" spans="1:7" x14ac:dyDescent="0.35">
      <c r="A62" s="1">
        <v>45200</v>
      </c>
      <c r="B62" s="2">
        <v>341.32998700000002</v>
      </c>
      <c r="C62" s="3">
        <f t="shared" si="0"/>
        <v>-2.560662662654721E-2</v>
      </c>
      <c r="D62" s="2"/>
      <c r="E62" s="2"/>
      <c r="G62" s="2"/>
    </row>
    <row r="63" spans="1:7" x14ac:dyDescent="0.35">
      <c r="A63" s="1">
        <v>45231</v>
      </c>
      <c r="B63" s="2">
        <v>351.80999800000001</v>
      </c>
      <c r="C63" s="3">
        <f t="shared" si="0"/>
        <v>3.0703458234391783E-2</v>
      </c>
      <c r="D63" s="2"/>
      <c r="E63" s="2"/>
      <c r="G63" s="2"/>
    </row>
    <row r="64" spans="1:7" x14ac:dyDescent="0.35">
      <c r="A64" s="1">
        <v>45233</v>
      </c>
      <c r="B64" s="2">
        <v>351.80999800000001</v>
      </c>
      <c r="C64" s="3">
        <f t="shared" si="0"/>
        <v>0</v>
      </c>
      <c r="D64" s="2"/>
      <c r="E64" s="2"/>
      <c r="G6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FCBF-3913-4112-897C-0D9C71D3F4D7}">
  <dimension ref="A1:E64"/>
  <sheetViews>
    <sheetView workbookViewId="0">
      <selection activeCell="C3" sqref="C3:C64"/>
    </sheetView>
  </sheetViews>
  <sheetFormatPr defaultRowHeight="14.5" x14ac:dyDescent="0.35"/>
  <cols>
    <col min="1" max="1" width="9.453125" bestFit="1" customWidth="1"/>
    <col min="2" max="2" width="8.453125" bestFit="1" customWidth="1"/>
    <col min="3" max="6" width="9" bestFit="1" customWidth="1"/>
    <col min="7" max="7" width="12.36328125" bestFit="1" customWidth="1"/>
  </cols>
  <sheetData>
    <row r="1" spans="1:5" x14ac:dyDescent="0.35">
      <c r="A1" t="s">
        <v>0</v>
      </c>
      <c r="B1" t="s">
        <v>1</v>
      </c>
    </row>
    <row r="2" spans="1:5" x14ac:dyDescent="0.35">
      <c r="A2" s="1">
        <v>43374</v>
      </c>
      <c r="B2" s="2">
        <v>71.334327999999999</v>
      </c>
      <c r="C2" s="2"/>
      <c r="D2" s="2"/>
      <c r="E2" s="2"/>
    </row>
    <row r="3" spans="1:5" x14ac:dyDescent="0.35">
      <c r="A3" s="1">
        <v>43405</v>
      </c>
      <c r="B3" s="2">
        <v>71.410399999999996</v>
      </c>
      <c r="C3" s="3">
        <f>(B3-B2)/B2</f>
        <v>1.0664150365304677E-3</v>
      </c>
      <c r="D3" s="2"/>
      <c r="E3" s="2"/>
    </row>
    <row r="4" spans="1:5" x14ac:dyDescent="0.35">
      <c r="A4" s="1">
        <v>43435</v>
      </c>
      <c r="B4" s="2">
        <v>70.687973</v>
      </c>
      <c r="C4" s="3">
        <f t="shared" ref="C4:C64" si="0">(B4-B3)/B3</f>
        <v>-1.0116551650739896E-2</v>
      </c>
      <c r="D4" s="2"/>
      <c r="E4" s="2"/>
    </row>
    <row r="5" spans="1:5" x14ac:dyDescent="0.35">
      <c r="A5" s="1">
        <v>43466</v>
      </c>
      <c r="B5" s="2">
        <v>78.067581000000004</v>
      </c>
      <c r="C5" s="3">
        <f t="shared" si="0"/>
        <v>0.10439693892481547</v>
      </c>
      <c r="D5" s="2"/>
      <c r="E5" s="2"/>
    </row>
    <row r="6" spans="1:5" x14ac:dyDescent="0.35">
      <c r="A6" s="1">
        <v>43497</v>
      </c>
      <c r="B6" s="2">
        <v>81.738319000000004</v>
      </c>
      <c r="C6" s="3">
        <f t="shared" si="0"/>
        <v>4.7020004372877899E-2</v>
      </c>
      <c r="D6" s="2"/>
      <c r="E6" s="2"/>
    </row>
    <row r="7" spans="1:5" x14ac:dyDescent="0.35">
      <c r="A7" s="1">
        <v>43525</v>
      </c>
      <c r="B7" s="2">
        <v>80.289107999999999</v>
      </c>
      <c r="C7" s="3">
        <f t="shared" si="0"/>
        <v>-1.7729885049385531E-2</v>
      </c>
      <c r="D7" s="2"/>
      <c r="E7" s="2"/>
    </row>
    <row r="8" spans="1:5" x14ac:dyDescent="0.35">
      <c r="A8" s="1">
        <v>43556</v>
      </c>
      <c r="B8" s="2">
        <v>83.955985999999996</v>
      </c>
      <c r="C8" s="3">
        <f t="shared" si="0"/>
        <v>4.5670927120027252E-2</v>
      </c>
      <c r="D8" s="2"/>
      <c r="E8" s="2"/>
    </row>
    <row r="9" spans="1:5" x14ac:dyDescent="0.35">
      <c r="A9" s="1">
        <v>43586</v>
      </c>
      <c r="B9" s="2">
        <v>73.737517999999994</v>
      </c>
      <c r="C9" s="3">
        <f t="shared" si="0"/>
        <v>-0.12171220286782174</v>
      </c>
      <c r="D9" s="2"/>
      <c r="E9" s="2"/>
    </row>
    <row r="10" spans="1:5" x14ac:dyDescent="0.35">
      <c r="A10" s="1">
        <v>43617</v>
      </c>
      <c r="B10" s="2">
        <v>80.470489999999998</v>
      </c>
      <c r="C10" s="3">
        <f t="shared" si="0"/>
        <v>9.1309989576812231E-2</v>
      </c>
      <c r="D10" s="2"/>
      <c r="E10" s="2"/>
    </row>
    <row r="11" spans="1:5" x14ac:dyDescent="0.35">
      <c r="A11" s="1">
        <v>43647</v>
      </c>
      <c r="B11" s="2">
        <v>82.464286999999999</v>
      </c>
      <c r="C11" s="3">
        <f t="shared" si="0"/>
        <v>2.4776747351731059E-2</v>
      </c>
      <c r="D11" s="2"/>
      <c r="E11" s="2"/>
    </row>
    <row r="12" spans="1:5" x14ac:dyDescent="0.35">
      <c r="A12" s="1">
        <v>43678</v>
      </c>
      <c r="B12" s="2">
        <v>80.997696000000005</v>
      </c>
      <c r="C12" s="3">
        <f t="shared" si="0"/>
        <v>-1.7784559272306495E-2</v>
      </c>
      <c r="D12" s="2"/>
      <c r="E12" s="2"/>
    </row>
    <row r="13" spans="1:5" x14ac:dyDescent="0.35">
      <c r="A13" s="1">
        <v>43709</v>
      </c>
      <c r="B13" s="2">
        <v>90.259827000000001</v>
      </c>
      <c r="C13" s="3">
        <f t="shared" si="0"/>
        <v>0.1143505489341326</v>
      </c>
      <c r="D13" s="2"/>
      <c r="E13" s="2"/>
    </row>
    <row r="14" spans="1:5" x14ac:dyDescent="0.35">
      <c r="A14" s="1">
        <v>43739</v>
      </c>
      <c r="B14" s="2">
        <v>86.060135000000002</v>
      </c>
      <c r="C14" s="3">
        <f t="shared" si="0"/>
        <v>-4.65289170119947E-2</v>
      </c>
      <c r="D14" s="2"/>
      <c r="E14" s="2"/>
    </row>
    <row r="15" spans="1:5" x14ac:dyDescent="0.35">
      <c r="A15" s="1">
        <v>43770</v>
      </c>
      <c r="B15" s="2">
        <v>89.846587999999997</v>
      </c>
      <c r="C15" s="3">
        <f t="shared" si="0"/>
        <v>4.3997758079277874E-2</v>
      </c>
      <c r="D15" s="2"/>
      <c r="E15" s="2"/>
    </row>
    <row r="16" spans="1:5" x14ac:dyDescent="0.35">
      <c r="A16" s="1">
        <v>43800</v>
      </c>
      <c r="B16" s="2">
        <v>97.615875000000003</v>
      </c>
      <c r="C16" s="3">
        <f t="shared" si="0"/>
        <v>8.6472810742685147E-2</v>
      </c>
      <c r="D16" s="2"/>
      <c r="E16" s="2"/>
    </row>
    <row r="17" spans="1:5" x14ac:dyDescent="0.35">
      <c r="A17" s="1">
        <v>43831</v>
      </c>
      <c r="B17" s="2">
        <v>92.788582000000005</v>
      </c>
      <c r="C17" s="3">
        <f t="shared" si="0"/>
        <v>-4.9451925724171376E-2</v>
      </c>
      <c r="D17" s="2"/>
      <c r="E17" s="2"/>
    </row>
    <row r="18" spans="1:5" x14ac:dyDescent="0.35">
      <c r="A18" s="1">
        <v>43862</v>
      </c>
      <c r="B18" s="2">
        <v>86.120887999999994</v>
      </c>
      <c r="C18" s="3">
        <f t="shared" si="0"/>
        <v>-7.1858992305756014E-2</v>
      </c>
      <c r="D18" s="2"/>
      <c r="E18" s="2"/>
    </row>
    <row r="19" spans="1:5" x14ac:dyDescent="0.35">
      <c r="A19" s="1">
        <v>43891</v>
      </c>
      <c r="B19" s="2">
        <v>79.944198999999998</v>
      </c>
      <c r="C19" s="3">
        <f t="shared" si="0"/>
        <v>-7.1721148532513934E-2</v>
      </c>
      <c r="D19" s="2"/>
      <c r="E19" s="2"/>
    </row>
    <row r="20" spans="1:5" x14ac:dyDescent="0.35">
      <c r="A20" s="1">
        <v>43922</v>
      </c>
      <c r="B20" s="2">
        <v>84.234177000000003</v>
      </c>
      <c r="C20" s="3">
        <f t="shared" si="0"/>
        <v>5.3662155023906179E-2</v>
      </c>
      <c r="D20" s="2"/>
      <c r="E20" s="2"/>
    </row>
    <row r="21" spans="1:5" x14ac:dyDescent="0.35">
      <c r="A21" s="1">
        <v>43952</v>
      </c>
      <c r="B21" s="2">
        <v>95.24897</v>
      </c>
      <c r="C21" s="3">
        <f t="shared" si="0"/>
        <v>0.13076394157682572</v>
      </c>
      <c r="D21" s="2"/>
      <c r="E21" s="2"/>
    </row>
    <row r="22" spans="1:5" x14ac:dyDescent="0.35">
      <c r="A22" s="1">
        <v>43983</v>
      </c>
      <c r="B22" s="2">
        <v>94.973206000000005</v>
      </c>
      <c r="C22" s="3">
        <f t="shared" si="0"/>
        <v>-2.8951914125685059E-3</v>
      </c>
      <c r="D22" s="2"/>
      <c r="E22" s="2"/>
    </row>
    <row r="23" spans="1:5" x14ac:dyDescent="0.35">
      <c r="A23" s="1">
        <v>44013</v>
      </c>
      <c r="B23" s="2">
        <v>94.546988999999996</v>
      </c>
      <c r="C23" s="3">
        <f t="shared" si="0"/>
        <v>-4.4877604742542673E-3</v>
      </c>
      <c r="D23" s="2"/>
      <c r="E23" s="2"/>
    </row>
    <row r="24" spans="1:5" x14ac:dyDescent="0.35">
      <c r="A24" s="1">
        <v>44044</v>
      </c>
      <c r="B24" s="2">
        <v>108.378899</v>
      </c>
      <c r="C24" s="3">
        <f t="shared" si="0"/>
        <v>0.14629667371004282</v>
      </c>
      <c r="D24" s="2"/>
      <c r="E24" s="2"/>
    </row>
    <row r="25" spans="1:5" x14ac:dyDescent="0.35">
      <c r="A25" s="1">
        <v>44075</v>
      </c>
      <c r="B25" s="2">
        <v>121.869934</v>
      </c>
      <c r="C25" s="3">
        <f t="shared" si="0"/>
        <v>0.12448027360012207</v>
      </c>
      <c r="D25" s="2"/>
      <c r="E25" s="2"/>
    </row>
    <row r="26" spans="1:5" x14ac:dyDescent="0.35">
      <c r="A26" s="1">
        <v>44105</v>
      </c>
      <c r="B26" s="2">
        <v>116.569557</v>
      </c>
      <c r="C26" s="3">
        <f t="shared" si="0"/>
        <v>-4.3492080663636017E-2</v>
      </c>
      <c r="D26" s="2"/>
      <c r="E26" s="2"/>
    </row>
    <row r="27" spans="1:5" x14ac:dyDescent="0.35">
      <c r="A27" s="1">
        <v>44136</v>
      </c>
      <c r="B27" s="2">
        <v>130.76213100000001</v>
      </c>
      <c r="C27" s="3">
        <f t="shared" si="0"/>
        <v>0.12175197680471589</v>
      </c>
      <c r="D27" s="2"/>
      <c r="E27" s="2"/>
    </row>
    <row r="28" spans="1:5" x14ac:dyDescent="0.35">
      <c r="A28" s="1">
        <v>44166</v>
      </c>
      <c r="B28" s="2">
        <v>137.334259</v>
      </c>
      <c r="C28" s="3">
        <f t="shared" si="0"/>
        <v>5.0260178155095925E-2</v>
      </c>
      <c r="D28" s="2"/>
      <c r="E28" s="2"/>
    </row>
    <row r="29" spans="1:5" x14ac:dyDescent="0.35">
      <c r="A29" s="1">
        <v>44197</v>
      </c>
      <c r="B29" s="2">
        <v>129.94551100000001</v>
      </c>
      <c r="C29" s="3">
        <f t="shared" si="0"/>
        <v>-5.3801200471034635E-2</v>
      </c>
      <c r="D29" s="2"/>
      <c r="E29" s="2"/>
    </row>
    <row r="30" spans="1:5" x14ac:dyDescent="0.35">
      <c r="A30" s="1">
        <v>44228</v>
      </c>
      <c r="B30" s="2">
        <v>131.103058</v>
      </c>
      <c r="C30" s="3">
        <f t="shared" si="0"/>
        <v>8.907941421693235E-3</v>
      </c>
      <c r="D30" s="2"/>
      <c r="E30" s="2"/>
    </row>
    <row r="31" spans="1:5" x14ac:dyDescent="0.35">
      <c r="A31" s="1">
        <v>44256</v>
      </c>
      <c r="B31" s="2">
        <v>129.52742000000001</v>
      </c>
      <c r="C31" s="3">
        <f t="shared" si="0"/>
        <v>-1.2018316155523984E-2</v>
      </c>
      <c r="D31" s="2"/>
      <c r="E31" s="2"/>
    </row>
    <row r="32" spans="1:5" x14ac:dyDescent="0.35">
      <c r="A32" s="1">
        <v>44287</v>
      </c>
      <c r="B32" s="2">
        <v>129.26422099999999</v>
      </c>
      <c r="C32" s="3">
        <f t="shared" si="0"/>
        <v>-2.0319944610956843E-3</v>
      </c>
      <c r="D32" s="2"/>
      <c r="E32" s="2"/>
    </row>
    <row r="33" spans="1:5" x14ac:dyDescent="0.35">
      <c r="A33" s="1">
        <v>44317</v>
      </c>
      <c r="B33" s="2">
        <v>133.00709499999999</v>
      </c>
      <c r="C33" s="3">
        <f t="shared" si="0"/>
        <v>2.895522033123149E-2</v>
      </c>
      <c r="D33" s="2"/>
      <c r="E33" s="2"/>
    </row>
    <row r="34" spans="1:5" x14ac:dyDescent="0.35">
      <c r="A34" s="1">
        <v>44348</v>
      </c>
      <c r="B34" s="2">
        <v>150.88473500000001</v>
      </c>
      <c r="C34" s="3">
        <f t="shared" si="0"/>
        <v>0.13441117558428003</v>
      </c>
      <c r="D34" s="2"/>
      <c r="E34" s="2"/>
    </row>
    <row r="35" spans="1:5" x14ac:dyDescent="0.35">
      <c r="A35" s="1">
        <v>44378</v>
      </c>
      <c r="B35" s="2">
        <v>163.60084499999999</v>
      </c>
      <c r="C35" s="3">
        <f t="shared" si="0"/>
        <v>8.4276981365941264E-2</v>
      </c>
      <c r="D35" s="2"/>
      <c r="E35" s="2"/>
    </row>
    <row r="36" spans="1:5" x14ac:dyDescent="0.35">
      <c r="A36" s="1">
        <v>44409</v>
      </c>
      <c r="B36" s="2">
        <v>160.89550800000001</v>
      </c>
      <c r="C36" s="3">
        <f t="shared" si="0"/>
        <v>-1.6536204320949478E-2</v>
      </c>
      <c r="D36" s="2"/>
      <c r="E36" s="2"/>
    </row>
    <row r="37" spans="1:5" x14ac:dyDescent="0.35">
      <c r="A37" s="1">
        <v>44440</v>
      </c>
      <c r="B37" s="2">
        <v>142.07486</v>
      </c>
      <c r="C37" s="3">
        <f t="shared" si="0"/>
        <v>-0.11697435331755815</v>
      </c>
      <c r="D37" s="2"/>
      <c r="E37" s="2"/>
    </row>
    <row r="38" spans="1:5" x14ac:dyDescent="0.35">
      <c r="A38" s="1">
        <v>44470</v>
      </c>
      <c r="B38" s="2">
        <v>163.65559400000001</v>
      </c>
      <c r="C38" s="3">
        <f t="shared" si="0"/>
        <v>0.15189692250972484</v>
      </c>
      <c r="D38" s="2"/>
      <c r="E38" s="2"/>
    </row>
    <row r="39" spans="1:5" x14ac:dyDescent="0.35">
      <c r="A39" s="1">
        <v>44501</v>
      </c>
      <c r="B39" s="2">
        <v>165.56326300000001</v>
      </c>
      <c r="C39" s="3">
        <f t="shared" si="0"/>
        <v>1.1656607350678147E-2</v>
      </c>
      <c r="D39" s="2"/>
      <c r="E39" s="2"/>
    </row>
    <row r="40" spans="1:5" x14ac:dyDescent="0.35">
      <c r="A40" s="1">
        <v>44531</v>
      </c>
      <c r="B40" s="2">
        <v>163.04908800000001</v>
      </c>
      <c r="C40" s="3">
        <f t="shared" si="0"/>
        <v>-1.5185584980890322E-2</v>
      </c>
      <c r="D40" s="2"/>
      <c r="E40" s="2"/>
    </row>
    <row r="41" spans="1:5" x14ac:dyDescent="0.35">
      <c r="A41" s="1">
        <v>44562</v>
      </c>
      <c r="B41" s="2">
        <v>145.11350999999999</v>
      </c>
      <c r="C41" s="3">
        <f t="shared" si="0"/>
        <v>-0.11000109365837127</v>
      </c>
      <c r="D41" s="2"/>
      <c r="E41" s="2"/>
    </row>
    <row r="42" spans="1:5" x14ac:dyDescent="0.35">
      <c r="A42" s="1">
        <v>44593</v>
      </c>
      <c r="B42" s="2">
        <v>133.82354699999999</v>
      </c>
      <c r="C42" s="3">
        <f t="shared" si="0"/>
        <v>-7.7800909095231727E-2</v>
      </c>
      <c r="D42" s="2"/>
      <c r="E42" s="2"/>
    </row>
    <row r="43" spans="1:5" x14ac:dyDescent="0.35">
      <c r="A43" s="1">
        <v>44621</v>
      </c>
      <c r="B43" s="2">
        <v>131.87325999999999</v>
      </c>
      <c r="C43" s="3">
        <f t="shared" si="0"/>
        <v>-1.4573571271429558E-2</v>
      </c>
      <c r="D43" s="2"/>
      <c r="E43" s="2"/>
    </row>
    <row r="44" spans="1:5" x14ac:dyDescent="0.35">
      <c r="A44" s="1">
        <v>44652</v>
      </c>
      <c r="B44" s="2">
        <v>122.489014</v>
      </c>
      <c r="C44" s="3">
        <f t="shared" si="0"/>
        <v>-7.1161098163494182E-2</v>
      </c>
      <c r="D44" s="2"/>
      <c r="E44" s="2"/>
    </row>
    <row r="45" spans="1:5" x14ac:dyDescent="0.35">
      <c r="A45" s="1">
        <v>44682</v>
      </c>
      <c r="B45" s="2">
        <v>116.74273700000001</v>
      </c>
      <c r="C45" s="3">
        <f t="shared" si="0"/>
        <v>-4.6912590871210642E-2</v>
      </c>
      <c r="D45" s="2"/>
      <c r="E45" s="2"/>
    </row>
    <row r="46" spans="1:5" x14ac:dyDescent="0.35">
      <c r="A46" s="1">
        <v>44713</v>
      </c>
      <c r="B46" s="2">
        <v>100.387947</v>
      </c>
      <c r="C46" s="3">
        <f t="shared" si="0"/>
        <v>-0.14009256952747312</v>
      </c>
      <c r="D46" s="2"/>
      <c r="E46" s="2"/>
    </row>
    <row r="47" spans="1:5" x14ac:dyDescent="0.35">
      <c r="A47" s="1">
        <v>44743</v>
      </c>
      <c r="B47" s="2">
        <v>113.16207900000001</v>
      </c>
      <c r="C47" s="3">
        <f t="shared" si="0"/>
        <v>0.12724766649526173</v>
      </c>
      <c r="D47" s="2"/>
      <c r="E47" s="2"/>
    </row>
    <row r="48" spans="1:5" x14ac:dyDescent="0.35">
      <c r="A48" s="1">
        <v>44774</v>
      </c>
      <c r="B48" s="2">
        <v>104.821648</v>
      </c>
      <c r="C48" s="3">
        <f t="shared" si="0"/>
        <v>-7.3703409072221171E-2</v>
      </c>
      <c r="D48" s="2"/>
      <c r="E48" s="2"/>
    </row>
    <row r="49" spans="1:5" x14ac:dyDescent="0.35">
      <c r="A49" s="1">
        <v>44805</v>
      </c>
      <c r="B49" s="2">
        <v>81.848534000000001</v>
      </c>
      <c r="C49" s="3">
        <f t="shared" si="0"/>
        <v>-0.21916383150167604</v>
      </c>
      <c r="D49" s="2"/>
      <c r="E49" s="2"/>
    </row>
    <row r="50" spans="1:5" x14ac:dyDescent="0.35">
      <c r="A50" s="1">
        <v>44835</v>
      </c>
      <c r="B50" s="2">
        <v>91.524428999999998</v>
      </c>
      <c r="C50" s="3">
        <f t="shared" si="0"/>
        <v>0.11821708376597187</v>
      </c>
      <c r="D50" s="2"/>
      <c r="E50" s="2"/>
    </row>
    <row r="51" spans="1:5" x14ac:dyDescent="0.35">
      <c r="A51" s="1">
        <v>44866</v>
      </c>
      <c r="B51" s="2">
        <v>108.32235</v>
      </c>
      <c r="C51" s="3">
        <f t="shared" si="0"/>
        <v>0.18353483527332362</v>
      </c>
      <c r="D51" s="2"/>
      <c r="E51" s="2"/>
    </row>
    <row r="52" spans="1:5" x14ac:dyDescent="0.35">
      <c r="A52" s="1">
        <v>44896</v>
      </c>
      <c r="B52" s="2">
        <v>115.55107099999999</v>
      </c>
      <c r="C52" s="3">
        <f t="shared" si="0"/>
        <v>6.673342112684956E-2</v>
      </c>
      <c r="D52" s="2"/>
      <c r="E52" s="2"/>
    </row>
    <row r="53" spans="1:5" x14ac:dyDescent="0.35">
      <c r="A53" s="1">
        <v>44927</v>
      </c>
      <c r="B53" s="2">
        <v>126.12835699999999</v>
      </c>
      <c r="C53" s="3">
        <f t="shared" si="0"/>
        <v>9.1537758226403643E-2</v>
      </c>
      <c r="D53" s="2"/>
      <c r="E53" s="2"/>
    </row>
    <row r="54" spans="1:5" x14ac:dyDescent="0.35">
      <c r="A54" s="1">
        <v>44958</v>
      </c>
      <c r="B54" s="2">
        <v>117.66894499999999</v>
      </c>
      <c r="C54" s="3">
        <f t="shared" si="0"/>
        <v>-6.7069865977878396E-2</v>
      </c>
      <c r="D54" s="2"/>
      <c r="E54" s="2"/>
    </row>
    <row r="55" spans="1:5" x14ac:dyDescent="0.35">
      <c r="A55" s="1">
        <v>44986</v>
      </c>
      <c r="B55" s="2">
        <v>121.48262</v>
      </c>
      <c r="C55" s="3">
        <f t="shared" si="0"/>
        <v>3.241020814795275E-2</v>
      </c>
      <c r="D55" s="2"/>
      <c r="E55" s="2"/>
    </row>
    <row r="56" spans="1:5" x14ac:dyDescent="0.35">
      <c r="A56" s="1">
        <v>45017</v>
      </c>
      <c r="B56" s="2">
        <v>125.882034</v>
      </c>
      <c r="C56" s="3">
        <f t="shared" si="0"/>
        <v>3.6214349015521785E-2</v>
      </c>
      <c r="D56" s="2"/>
      <c r="E56" s="2"/>
    </row>
    <row r="57" spans="1:5" x14ac:dyDescent="0.35">
      <c r="A57" s="1">
        <v>45047</v>
      </c>
      <c r="B57" s="2">
        <v>104.563942</v>
      </c>
      <c r="C57" s="3">
        <f t="shared" si="0"/>
        <v>-0.16934975804410665</v>
      </c>
      <c r="D57" s="2"/>
      <c r="E57" s="2"/>
    </row>
    <row r="58" spans="1:5" x14ac:dyDescent="0.35">
      <c r="A58" s="1">
        <v>45078</v>
      </c>
      <c r="B58" s="2">
        <v>109.640152</v>
      </c>
      <c r="C58" s="3">
        <f t="shared" si="0"/>
        <v>4.8546467385477902E-2</v>
      </c>
      <c r="D58" s="2"/>
      <c r="E58" s="2"/>
    </row>
    <row r="59" spans="1:5" x14ac:dyDescent="0.35">
      <c r="A59" s="1">
        <v>45108</v>
      </c>
      <c r="B59" s="2">
        <v>110.02098100000001</v>
      </c>
      <c r="C59" s="3">
        <f t="shared" si="0"/>
        <v>3.4734446555674753E-3</v>
      </c>
      <c r="D59" s="2"/>
      <c r="E59" s="2"/>
    </row>
    <row r="60" spans="1:5" x14ac:dyDescent="0.35">
      <c r="A60" s="1">
        <v>45139</v>
      </c>
      <c r="B60" s="2">
        <v>101.369995</v>
      </c>
      <c r="C60" s="3">
        <f t="shared" si="0"/>
        <v>-7.8630329609586033E-2</v>
      </c>
      <c r="D60" s="2"/>
      <c r="E60" s="2"/>
    </row>
    <row r="61" spans="1:5" x14ac:dyDescent="0.35">
      <c r="A61" s="1">
        <v>45170</v>
      </c>
      <c r="B61" s="2">
        <v>95.300353999999999</v>
      </c>
      <c r="C61" s="3">
        <f t="shared" si="0"/>
        <v>-5.9876110282929419E-2</v>
      </c>
      <c r="D61" s="2"/>
      <c r="E61" s="2"/>
    </row>
    <row r="62" spans="1:5" x14ac:dyDescent="0.35">
      <c r="A62" s="1">
        <v>45200</v>
      </c>
      <c r="B62" s="2">
        <v>102.769997</v>
      </c>
      <c r="C62" s="3">
        <f t="shared" si="0"/>
        <v>7.8380013152941755E-2</v>
      </c>
      <c r="D62" s="2"/>
      <c r="E62" s="2"/>
    </row>
    <row r="63" spans="1:5" x14ac:dyDescent="0.35">
      <c r="A63" s="1">
        <v>45231</v>
      </c>
      <c r="B63" s="2">
        <v>107.05999799999999</v>
      </c>
      <c r="C63" s="3">
        <f t="shared" si="0"/>
        <v>4.1743710472230425E-2</v>
      </c>
      <c r="D63" s="2"/>
      <c r="E63" s="2"/>
    </row>
    <row r="64" spans="1:5" x14ac:dyDescent="0.35">
      <c r="A64" s="1">
        <v>45233</v>
      </c>
      <c r="B64" s="2">
        <v>107.05999799999999</v>
      </c>
      <c r="C64" s="3">
        <f t="shared" si="0"/>
        <v>0</v>
      </c>
      <c r="D64" s="2"/>
      <c r="E6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2F9B-D878-4CD2-ACCC-CD03C3D4FC8F}">
  <dimension ref="A1:G66"/>
  <sheetViews>
    <sheetView tabSelected="1" workbookViewId="0">
      <selection activeCell="D6" sqref="D6"/>
    </sheetView>
  </sheetViews>
  <sheetFormatPr defaultColWidth="8.81640625" defaultRowHeight="14.5" x14ac:dyDescent="0.35"/>
  <cols>
    <col min="1" max="1" width="9.453125" bestFit="1" customWidth="1"/>
    <col min="2" max="3" width="9.90625" bestFit="1" customWidth="1"/>
    <col min="4" max="4" width="10.08984375" bestFit="1" customWidth="1"/>
    <col min="5" max="6" width="9.90625" bestFit="1" customWidth="1"/>
    <col min="7" max="7" width="15.453125" bestFit="1" customWidth="1"/>
  </cols>
  <sheetData>
    <row r="1" spans="1:7" x14ac:dyDescent="0.35">
      <c r="A1" t="s">
        <v>0</v>
      </c>
      <c r="B1" t="s">
        <v>1</v>
      </c>
    </row>
    <row r="2" spans="1:7" x14ac:dyDescent="0.35">
      <c r="A2" s="1">
        <v>43374</v>
      </c>
      <c r="B2" s="2">
        <v>42.408805999999998</v>
      </c>
      <c r="C2" s="2"/>
      <c r="E2" s="2"/>
      <c r="G2" s="2"/>
    </row>
    <row r="3" spans="1:7" x14ac:dyDescent="0.35">
      <c r="A3" s="1">
        <v>43405</v>
      </c>
      <c r="B3" s="2">
        <v>40.244945999999999</v>
      </c>
      <c r="C3" s="3">
        <f>(B3-B2)/B2</f>
        <v>-5.102383688897065E-2</v>
      </c>
      <c r="E3" s="3"/>
      <c r="G3" s="2"/>
    </row>
    <row r="4" spans="1:7" x14ac:dyDescent="0.35">
      <c r="A4" s="1">
        <v>43435</v>
      </c>
      <c r="B4" s="2">
        <v>37.762669000000002</v>
      </c>
      <c r="C4" s="3">
        <f t="shared" ref="C4:C64" si="0">(B4-B3)/B3</f>
        <v>-6.1679223025917253E-2</v>
      </c>
      <c r="E4" s="3"/>
      <c r="G4" s="2"/>
    </row>
    <row r="5" spans="1:7" x14ac:dyDescent="0.35">
      <c r="A5" s="1">
        <v>43466</v>
      </c>
      <c r="B5" s="2">
        <v>40.132373999999999</v>
      </c>
      <c r="C5" s="3">
        <f t="shared" si="0"/>
        <v>6.2752582451203229E-2</v>
      </c>
      <c r="E5" s="3"/>
      <c r="G5" s="2"/>
    </row>
    <row r="6" spans="1:7" x14ac:dyDescent="0.35">
      <c r="A6" s="1">
        <v>43497</v>
      </c>
      <c r="B6" s="2">
        <v>41.730927000000001</v>
      </c>
      <c r="C6" s="3">
        <f t="shared" si="0"/>
        <v>3.9832006947807336E-2</v>
      </c>
      <c r="E6" s="3"/>
      <c r="G6" s="2"/>
    </row>
    <row r="7" spans="1:7" x14ac:dyDescent="0.35">
      <c r="A7" s="1">
        <v>43525</v>
      </c>
      <c r="B7" s="2">
        <v>40.806995000000001</v>
      </c>
      <c r="C7" s="3">
        <f t="shared" si="0"/>
        <v>-2.2140222286459166E-2</v>
      </c>
      <c r="E7" s="3"/>
      <c r="G7" s="2"/>
    </row>
    <row r="8" spans="1:7" x14ac:dyDescent="0.35">
      <c r="A8" s="1">
        <v>43556</v>
      </c>
      <c r="B8" s="2">
        <v>41.334353999999998</v>
      </c>
      <c r="C8" s="3">
        <f t="shared" si="0"/>
        <v>1.2923250045733508E-2</v>
      </c>
      <c r="E8" s="3"/>
      <c r="G8" s="2"/>
    </row>
    <row r="9" spans="1:7" x14ac:dyDescent="0.35">
      <c r="A9" s="1">
        <v>43586</v>
      </c>
      <c r="B9" s="2">
        <v>38.238177999999998</v>
      </c>
      <c r="C9" s="3">
        <f t="shared" si="0"/>
        <v>-7.4905634185065531E-2</v>
      </c>
      <c r="E9" s="3"/>
      <c r="G9" s="2"/>
    </row>
    <row r="10" spans="1:7" x14ac:dyDescent="0.35">
      <c r="A10" s="1">
        <v>43617</v>
      </c>
      <c r="B10" s="2">
        <v>41.423465999999998</v>
      </c>
      <c r="C10" s="3">
        <f t="shared" si="0"/>
        <v>8.3301249342999553E-2</v>
      </c>
      <c r="E10" s="3"/>
      <c r="G10" s="2"/>
    </row>
    <row r="11" spans="1:7" x14ac:dyDescent="0.35">
      <c r="A11" s="1">
        <v>43647</v>
      </c>
      <c r="B11" s="2">
        <v>38.936751999999998</v>
      </c>
      <c r="C11" s="3">
        <f t="shared" si="0"/>
        <v>-6.0031528988906901E-2</v>
      </c>
      <c r="E11" s="3"/>
      <c r="G11" s="2"/>
    </row>
    <row r="12" spans="1:7" x14ac:dyDescent="0.35">
      <c r="A12" s="1">
        <v>43678</v>
      </c>
      <c r="B12" s="2">
        <v>37.567112000000002</v>
      </c>
      <c r="C12" s="3">
        <f t="shared" si="0"/>
        <v>-3.5176020845292817E-2</v>
      </c>
      <c r="E12" s="3"/>
      <c r="G12" s="2"/>
    </row>
    <row r="13" spans="1:7" x14ac:dyDescent="0.35">
      <c r="A13" s="1">
        <v>43709</v>
      </c>
      <c r="B13" s="2">
        <v>39.132415999999999</v>
      </c>
      <c r="C13" s="3">
        <f t="shared" si="0"/>
        <v>4.1666870745879998E-2</v>
      </c>
      <c r="E13" s="3"/>
      <c r="G13" s="2"/>
    </row>
    <row r="14" spans="1:7" x14ac:dyDescent="0.35">
      <c r="A14" s="1">
        <v>43739</v>
      </c>
      <c r="B14" s="2">
        <v>40.171889999999998</v>
      </c>
      <c r="C14" s="3">
        <f t="shared" si="0"/>
        <v>2.6562990641824887E-2</v>
      </c>
      <c r="E14" s="3"/>
      <c r="G14" s="2"/>
    </row>
    <row r="15" spans="1:7" x14ac:dyDescent="0.35">
      <c r="A15" s="1">
        <v>43770</v>
      </c>
      <c r="B15" s="2">
        <v>40.103194999999999</v>
      </c>
      <c r="C15" s="3">
        <f t="shared" si="0"/>
        <v>-1.7100265882436245E-3</v>
      </c>
      <c r="E15" s="3"/>
      <c r="G15" s="2"/>
    </row>
    <row r="16" spans="1:7" x14ac:dyDescent="0.35">
      <c r="A16" s="1">
        <v>43800</v>
      </c>
      <c r="B16" s="2">
        <v>42.209865999999998</v>
      </c>
      <c r="C16" s="3">
        <f t="shared" si="0"/>
        <v>5.2531250938983753E-2</v>
      </c>
      <c r="E16" s="3"/>
      <c r="G16" s="2"/>
    </row>
    <row r="17" spans="1:7" x14ac:dyDescent="0.35">
      <c r="A17" s="1">
        <v>43831</v>
      </c>
      <c r="B17" s="2">
        <v>37.088206999999997</v>
      </c>
      <c r="C17" s="3">
        <f t="shared" si="0"/>
        <v>-0.12133795923445957</v>
      </c>
      <c r="E17" s="3"/>
      <c r="G17" s="2"/>
    </row>
    <row r="18" spans="1:7" x14ac:dyDescent="0.35">
      <c r="A18" s="1">
        <v>43862</v>
      </c>
      <c r="B18" s="2">
        <v>33.371212</v>
      </c>
      <c r="C18" s="3">
        <f t="shared" si="0"/>
        <v>-0.10022040159557989</v>
      </c>
      <c r="E18" s="3"/>
      <c r="G18" s="2"/>
    </row>
    <row r="19" spans="1:7" x14ac:dyDescent="0.35">
      <c r="A19" s="1">
        <v>43891</v>
      </c>
      <c r="B19" s="2">
        <v>28.807231999999999</v>
      </c>
      <c r="C19" s="3">
        <f t="shared" si="0"/>
        <v>-0.13676398687587377</v>
      </c>
      <c r="E19" s="3"/>
      <c r="G19" s="2"/>
    </row>
    <row r="20" spans="1:7" x14ac:dyDescent="0.35">
      <c r="A20" s="1">
        <v>43922</v>
      </c>
      <c r="B20" s="2">
        <v>27.774918</v>
      </c>
      <c r="C20" s="3">
        <f t="shared" si="0"/>
        <v>-3.5835237484809351E-2</v>
      </c>
      <c r="E20" s="3"/>
      <c r="G20" s="2"/>
    </row>
    <row r="21" spans="1:7" x14ac:dyDescent="0.35">
      <c r="A21" s="1">
        <v>43952</v>
      </c>
      <c r="B21" s="2">
        <v>29.695059000000001</v>
      </c>
      <c r="C21" s="3">
        <f t="shared" si="0"/>
        <v>6.9132193297564412E-2</v>
      </c>
      <c r="E21" s="3"/>
      <c r="G21" s="2"/>
    </row>
    <row r="22" spans="1:7" x14ac:dyDescent="0.35">
      <c r="A22" s="1">
        <v>43983</v>
      </c>
      <c r="B22" s="2">
        <v>30.390416999999999</v>
      </c>
      <c r="C22" s="3">
        <f t="shared" si="0"/>
        <v>2.3416622947272096E-2</v>
      </c>
      <c r="E22" s="3"/>
      <c r="G22" s="2"/>
    </row>
    <row r="23" spans="1:7" x14ac:dyDescent="0.35">
      <c r="A23" s="1">
        <v>44013</v>
      </c>
      <c r="B23" s="2">
        <v>30.355747000000001</v>
      </c>
      <c r="C23" s="3">
        <f t="shared" si="0"/>
        <v>-1.140820147351003E-3</v>
      </c>
      <c r="E23" s="3"/>
      <c r="G23" s="2"/>
    </row>
    <row r="24" spans="1:7" x14ac:dyDescent="0.35">
      <c r="A24" s="1">
        <v>44044</v>
      </c>
      <c r="B24" s="2">
        <v>31.895298</v>
      </c>
      <c r="C24" s="3">
        <f t="shared" si="0"/>
        <v>5.0716953201645786E-2</v>
      </c>
      <c r="E24" s="3"/>
      <c r="G24" s="2"/>
    </row>
    <row r="25" spans="1:7" x14ac:dyDescent="0.35">
      <c r="A25" s="1">
        <v>44075</v>
      </c>
      <c r="B25" s="2">
        <v>27.647431999999998</v>
      </c>
      <c r="C25" s="3">
        <f t="shared" si="0"/>
        <v>-0.13318157428721944</v>
      </c>
      <c r="E25" s="3"/>
      <c r="G25" s="2"/>
    </row>
    <row r="26" spans="1:7" x14ac:dyDescent="0.35">
      <c r="A26" s="1">
        <v>44105</v>
      </c>
      <c r="B26" s="2">
        <v>25.008278000000001</v>
      </c>
      <c r="C26" s="3">
        <f t="shared" si="0"/>
        <v>-9.5457473229339992E-2</v>
      </c>
      <c r="E26" s="3"/>
      <c r="G26" s="2"/>
    </row>
    <row r="27" spans="1:7" x14ac:dyDescent="0.35">
      <c r="A27" s="1">
        <v>44136</v>
      </c>
      <c r="B27" s="2">
        <v>34.746082000000001</v>
      </c>
      <c r="C27" s="3">
        <f t="shared" si="0"/>
        <v>0.38938322742573478</v>
      </c>
      <c r="E27" s="3"/>
      <c r="G27" s="2"/>
    </row>
    <row r="28" spans="1:7" x14ac:dyDescent="0.35">
      <c r="A28" s="1">
        <v>44166</v>
      </c>
      <c r="B28" s="2">
        <v>34.556441999999997</v>
      </c>
      <c r="C28" s="3">
        <f t="shared" si="0"/>
        <v>-5.4578815533792915E-3</v>
      </c>
      <c r="E28" s="3"/>
      <c r="G28" s="2"/>
    </row>
    <row r="29" spans="1:7" x14ac:dyDescent="0.35">
      <c r="A29" s="1">
        <v>44197</v>
      </c>
      <c r="B29" s="2">
        <v>35.356071</v>
      </c>
      <c r="C29" s="3">
        <f t="shared" si="0"/>
        <v>2.3139795468526625E-2</v>
      </c>
      <c r="E29" s="3"/>
      <c r="G29" s="2"/>
    </row>
    <row r="30" spans="1:7" x14ac:dyDescent="0.35">
      <c r="A30" s="1">
        <v>44228</v>
      </c>
      <c r="B30" s="2">
        <v>38.985782999999998</v>
      </c>
      <c r="C30" s="3">
        <f t="shared" si="0"/>
        <v>0.10266163341509292</v>
      </c>
      <c r="E30" s="3"/>
      <c r="G30" s="2"/>
    </row>
    <row r="31" spans="1:7" x14ac:dyDescent="0.35">
      <c r="A31" s="1">
        <v>44256</v>
      </c>
      <c r="B31" s="2">
        <v>39.103413000000003</v>
      </c>
      <c r="C31" s="3">
        <f t="shared" si="0"/>
        <v>3.0172537511945177E-3</v>
      </c>
      <c r="E31" s="3"/>
      <c r="G31" s="2"/>
    </row>
    <row r="32" spans="1:7" x14ac:dyDescent="0.35">
      <c r="A32" s="1">
        <v>44287</v>
      </c>
      <c r="B32" s="2">
        <v>37.827854000000002</v>
      </c>
      <c r="C32" s="3">
        <f t="shared" si="0"/>
        <v>-3.2620144947450011E-2</v>
      </c>
      <c r="E32" s="3"/>
      <c r="G32" s="2"/>
    </row>
    <row r="33" spans="1:7" x14ac:dyDescent="0.35">
      <c r="A33" s="1">
        <v>44317</v>
      </c>
      <c r="B33" s="2">
        <v>39.886681000000003</v>
      </c>
      <c r="C33" s="3">
        <f t="shared" si="0"/>
        <v>5.4426217252503954E-2</v>
      </c>
      <c r="E33" s="3"/>
      <c r="G33" s="2"/>
    </row>
    <row r="34" spans="1:7" x14ac:dyDescent="0.35">
      <c r="A34" s="1">
        <v>44348</v>
      </c>
      <c r="B34" s="2">
        <v>38.665053999999998</v>
      </c>
      <c r="C34" s="3">
        <f t="shared" si="0"/>
        <v>-3.0627441776867947E-2</v>
      </c>
      <c r="E34" s="3"/>
      <c r="G34" s="2"/>
    </row>
    <row r="35" spans="1:7" x14ac:dyDescent="0.35">
      <c r="A35" s="1">
        <v>44378</v>
      </c>
      <c r="B35" s="2">
        <v>37.906986000000003</v>
      </c>
      <c r="C35" s="3">
        <f t="shared" si="0"/>
        <v>-1.960602460299149E-2</v>
      </c>
      <c r="E35" s="3"/>
      <c r="G35" s="2"/>
    </row>
    <row r="36" spans="1:7" x14ac:dyDescent="0.35">
      <c r="A36" s="1">
        <v>44409</v>
      </c>
      <c r="B36" s="2">
        <v>38.480412000000001</v>
      </c>
      <c r="C36" s="3">
        <f t="shared" si="0"/>
        <v>1.5127185263423415E-2</v>
      </c>
      <c r="E36" s="3"/>
      <c r="G36" s="2"/>
    </row>
    <row r="37" spans="1:7" x14ac:dyDescent="0.35">
      <c r="A37" s="1">
        <v>44440</v>
      </c>
      <c r="B37" s="2">
        <v>41.642944</v>
      </c>
      <c r="C37" s="3">
        <f t="shared" si="0"/>
        <v>8.2185502587654169E-2</v>
      </c>
      <c r="E37" s="3"/>
      <c r="G37" s="2"/>
    </row>
    <row r="38" spans="1:7" x14ac:dyDescent="0.35">
      <c r="A38" s="1">
        <v>44470</v>
      </c>
      <c r="B38" s="2">
        <v>44.289062999999999</v>
      </c>
      <c r="C38" s="3">
        <f t="shared" si="0"/>
        <v>6.354303384506145E-2</v>
      </c>
      <c r="E38" s="3"/>
      <c r="G38" s="2"/>
    </row>
    <row r="39" spans="1:7" x14ac:dyDescent="0.35">
      <c r="A39" s="1">
        <v>44501</v>
      </c>
      <c r="B39" s="2">
        <v>40.647663000000001</v>
      </c>
      <c r="C39" s="3">
        <f t="shared" si="0"/>
        <v>-8.2218944212028092E-2</v>
      </c>
      <c r="E39" s="3"/>
      <c r="G39" s="2"/>
    </row>
    <row r="40" spans="1:7" x14ac:dyDescent="0.35">
      <c r="A40" s="1">
        <v>44531</v>
      </c>
      <c r="B40" s="2">
        <v>43.714581000000003</v>
      </c>
      <c r="C40" s="3">
        <f t="shared" si="0"/>
        <v>7.5451275021641492E-2</v>
      </c>
      <c r="E40" s="3"/>
      <c r="G40" s="2"/>
    </row>
    <row r="41" spans="1:7" x14ac:dyDescent="0.35">
      <c r="A41" s="1">
        <v>44562</v>
      </c>
      <c r="B41" s="2">
        <v>50.949638</v>
      </c>
      <c r="C41" s="3">
        <f t="shared" si="0"/>
        <v>0.16550672188760079</v>
      </c>
      <c r="E41" s="3"/>
      <c r="G41" s="2"/>
    </row>
    <row r="42" spans="1:7" x14ac:dyDescent="0.35">
      <c r="A42" s="1">
        <v>44593</v>
      </c>
      <c r="B42" s="2">
        <v>45.325446999999997</v>
      </c>
      <c r="C42" s="3">
        <f t="shared" si="0"/>
        <v>-0.11038726124020751</v>
      </c>
      <c r="E42" s="3"/>
      <c r="G42" s="2"/>
    </row>
    <row r="43" spans="1:7" x14ac:dyDescent="0.35">
      <c r="A43" s="1">
        <v>44621</v>
      </c>
      <c r="B43" s="2">
        <v>45.334415</v>
      </c>
      <c r="C43" s="3">
        <f t="shared" si="0"/>
        <v>1.9785794942084022E-4</v>
      </c>
      <c r="E43" s="3"/>
      <c r="G43" s="2"/>
    </row>
    <row r="44" spans="1:7" x14ac:dyDescent="0.35">
      <c r="A44" s="1">
        <v>44652</v>
      </c>
      <c r="B44" s="2">
        <v>44.338028000000001</v>
      </c>
      <c r="C44" s="3">
        <f t="shared" si="0"/>
        <v>-2.1978600584125738E-2</v>
      </c>
      <c r="E44" s="3"/>
      <c r="G44" s="2"/>
    </row>
    <row r="45" spans="1:7" x14ac:dyDescent="0.35">
      <c r="A45" s="1">
        <v>44682</v>
      </c>
      <c r="B45" s="2">
        <v>53.522399999999998</v>
      </c>
      <c r="C45" s="3">
        <f t="shared" si="0"/>
        <v>0.20714435021783098</v>
      </c>
      <c r="E45" s="3"/>
      <c r="G45" s="2"/>
    </row>
    <row r="46" spans="1:7" x14ac:dyDescent="0.35">
      <c r="A46" s="1">
        <v>44713</v>
      </c>
      <c r="B46" s="2">
        <v>47.915286999999999</v>
      </c>
      <c r="C46" s="3">
        <f t="shared" si="0"/>
        <v>-0.10476198750429724</v>
      </c>
      <c r="E46" s="3"/>
      <c r="G46" s="2"/>
    </row>
    <row r="47" spans="1:7" x14ac:dyDescent="0.35">
      <c r="A47" s="1">
        <v>44743</v>
      </c>
      <c r="B47" s="2">
        <v>47.059882999999999</v>
      </c>
      <c r="C47" s="3">
        <f t="shared" si="0"/>
        <v>-1.7852423590826037E-2</v>
      </c>
      <c r="E47" s="3"/>
      <c r="G47" s="2"/>
    </row>
    <row r="48" spans="1:7" x14ac:dyDescent="0.35">
      <c r="A48" s="1">
        <v>44774</v>
      </c>
      <c r="B48" s="2">
        <v>46.552967000000002</v>
      </c>
      <c r="C48" s="3">
        <f t="shared" si="0"/>
        <v>-1.0771722488132766E-2</v>
      </c>
      <c r="E48" s="3"/>
      <c r="G48" s="2"/>
    </row>
    <row r="49" spans="1:7" x14ac:dyDescent="0.35">
      <c r="A49" s="1">
        <v>44805</v>
      </c>
      <c r="B49" s="2">
        <v>42.875552999999996</v>
      </c>
      <c r="C49" s="3">
        <f t="shared" si="0"/>
        <v>-7.8994191712850562E-2</v>
      </c>
      <c r="E49" s="3"/>
      <c r="G49" s="2"/>
    </row>
    <row r="50" spans="1:7" x14ac:dyDescent="0.35">
      <c r="A50" s="1">
        <v>44835</v>
      </c>
      <c r="B50" s="2">
        <v>51.180210000000002</v>
      </c>
      <c r="C50" s="3">
        <f t="shared" si="0"/>
        <v>0.19369212567357455</v>
      </c>
      <c r="E50" s="3"/>
      <c r="G50" s="2"/>
    </row>
    <row r="51" spans="1:7" x14ac:dyDescent="0.35">
      <c r="A51" s="1">
        <v>44866</v>
      </c>
      <c r="B51" s="2">
        <v>58.328803999999998</v>
      </c>
      <c r="C51" s="3">
        <f t="shared" si="0"/>
        <v>0.13967496420979897</v>
      </c>
      <c r="E51" s="3"/>
      <c r="G51" s="2"/>
    </row>
    <row r="52" spans="1:7" x14ac:dyDescent="0.35">
      <c r="A52" s="1">
        <v>44896</v>
      </c>
      <c r="B52" s="2">
        <v>58.011093000000002</v>
      </c>
      <c r="C52" s="3">
        <f t="shared" si="0"/>
        <v>-5.446897213939028E-3</v>
      </c>
      <c r="E52" s="3"/>
      <c r="G52" s="2"/>
    </row>
    <row r="53" spans="1:7" x14ac:dyDescent="0.35">
      <c r="A53" s="1">
        <v>44927</v>
      </c>
      <c r="B53" s="2">
        <v>59.673701999999999</v>
      </c>
      <c r="C53" s="3">
        <f t="shared" si="0"/>
        <v>2.8660190905211803E-2</v>
      </c>
      <c r="E53" s="3"/>
      <c r="G53" s="2"/>
    </row>
    <row r="54" spans="1:7" x14ac:dyDescent="0.35">
      <c r="A54" s="1">
        <v>44958</v>
      </c>
      <c r="B54" s="2">
        <v>59.548656000000001</v>
      </c>
      <c r="C54" s="3">
        <f t="shared" si="0"/>
        <v>-2.0954959355462405E-3</v>
      </c>
      <c r="E54" s="3"/>
      <c r="G54" s="2"/>
    </row>
    <row r="55" spans="1:7" x14ac:dyDescent="0.35">
      <c r="A55" s="1">
        <v>44986</v>
      </c>
      <c r="B55" s="2">
        <v>56.797741000000002</v>
      </c>
      <c r="C55" s="3">
        <f t="shared" si="0"/>
        <v>-4.6196088791659699E-2</v>
      </c>
      <c r="E55" s="3"/>
      <c r="G55" s="2"/>
    </row>
    <row r="56" spans="1:7" x14ac:dyDescent="0.35">
      <c r="A56" s="1">
        <v>45017</v>
      </c>
      <c r="B56" s="2">
        <v>62.300556</v>
      </c>
      <c r="C56" s="3">
        <f t="shared" si="0"/>
        <v>9.6884398976360669E-2</v>
      </c>
      <c r="E56" s="3"/>
      <c r="G56" s="2"/>
    </row>
    <row r="57" spans="1:7" x14ac:dyDescent="0.35">
      <c r="A57" s="1">
        <v>45047</v>
      </c>
      <c r="B57" s="2">
        <v>54.865028000000002</v>
      </c>
      <c r="C57" s="3">
        <f t="shared" si="0"/>
        <v>-0.11934930404152409</v>
      </c>
      <c r="E57" s="3"/>
      <c r="G57" s="2"/>
    </row>
    <row r="58" spans="1:7" x14ac:dyDescent="0.35">
      <c r="A58" s="1">
        <v>45078</v>
      </c>
      <c r="B58" s="2">
        <v>56.170876</v>
      </c>
      <c r="C58" s="3">
        <f t="shared" si="0"/>
        <v>2.3801099673183387E-2</v>
      </c>
      <c r="E58" s="3"/>
      <c r="G58" s="2"/>
    </row>
    <row r="59" spans="1:7" x14ac:dyDescent="0.35">
      <c r="A59" s="1">
        <v>45108</v>
      </c>
      <c r="B59" s="2">
        <v>60.110703000000001</v>
      </c>
      <c r="C59" s="3">
        <f t="shared" si="0"/>
        <v>7.0140031285963939E-2</v>
      </c>
      <c r="E59" s="3"/>
      <c r="G59" s="2"/>
    </row>
    <row r="60" spans="1:7" x14ac:dyDescent="0.35">
      <c r="A60" s="1">
        <v>45139</v>
      </c>
      <c r="B60" s="2">
        <v>62.145676000000002</v>
      </c>
      <c r="C60" s="3">
        <f t="shared" si="0"/>
        <v>3.3853754796379622E-2</v>
      </c>
      <c r="E60" s="3"/>
      <c r="G60" s="2"/>
    </row>
    <row r="61" spans="1:7" x14ac:dyDescent="0.35">
      <c r="A61" s="1">
        <v>45170</v>
      </c>
      <c r="B61" s="2">
        <v>64.961051999999995</v>
      </c>
      <c r="C61" s="3">
        <f t="shared" si="0"/>
        <v>4.5302846170665087E-2</v>
      </c>
      <c r="E61" s="3"/>
      <c r="G61" s="2"/>
    </row>
    <row r="62" spans="1:7" x14ac:dyDescent="0.35">
      <c r="A62" s="1">
        <v>45200</v>
      </c>
      <c r="B62" s="2">
        <v>66.599997999999999</v>
      </c>
      <c r="C62" s="3">
        <f t="shared" si="0"/>
        <v>2.5229671465295919E-2</v>
      </c>
      <c r="E62" s="3"/>
      <c r="G62" s="2"/>
    </row>
    <row r="63" spans="1:7" x14ac:dyDescent="0.35">
      <c r="A63" s="1">
        <v>45231</v>
      </c>
      <c r="B63" s="2">
        <v>66.449996999999996</v>
      </c>
      <c r="C63" s="3">
        <f t="shared" si="0"/>
        <v>-2.2522673349029704E-3</v>
      </c>
      <c r="E63" s="3"/>
      <c r="G63" s="2"/>
    </row>
    <row r="64" spans="1:7" x14ac:dyDescent="0.35">
      <c r="A64" s="1">
        <v>45233</v>
      </c>
      <c r="B64" s="2">
        <v>66.449996999999996</v>
      </c>
      <c r="C64" s="3">
        <f t="shared" si="0"/>
        <v>0</v>
      </c>
      <c r="E64" s="3"/>
      <c r="G64" s="2"/>
    </row>
    <row r="66" spans="5:5" x14ac:dyDescent="0.35">
      <c r="E66" s="8" t="e">
        <f>AVERAGE(E3:E63)</f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34793-6BD8-4A66-A144-B50AC740F018}">
  <dimension ref="A1:R66"/>
  <sheetViews>
    <sheetView workbookViewId="0">
      <selection activeCell="G14" sqref="G14:R15"/>
    </sheetView>
  </sheetViews>
  <sheetFormatPr defaultRowHeight="14.5" x14ac:dyDescent="0.35"/>
  <cols>
    <col min="1" max="1" width="9.453125" bestFit="1" customWidth="1"/>
    <col min="7" max="7" width="17.6328125" bestFit="1" customWidth="1"/>
    <col min="8" max="8" width="11.36328125" bestFit="1" customWidth="1"/>
    <col min="9" max="9" width="11.81640625" bestFit="1" customWidth="1"/>
    <col min="18" max="18" width="10.6328125" bestFit="1" customWidth="1"/>
  </cols>
  <sheetData>
    <row r="1" spans="1:18" x14ac:dyDescent="0.35">
      <c r="A1" s="11" t="s">
        <v>0</v>
      </c>
      <c r="B1" s="12" t="s">
        <v>3</v>
      </c>
      <c r="C1" s="11" t="s">
        <v>4</v>
      </c>
      <c r="D1" s="11" t="s">
        <v>5</v>
      </c>
      <c r="G1" s="16" t="s">
        <v>8</v>
      </c>
      <c r="H1" s="16"/>
    </row>
    <row r="2" spans="1:18" x14ac:dyDescent="0.35">
      <c r="A2" s="9">
        <v>43405</v>
      </c>
      <c r="B2" s="10">
        <v>6.3133310907703161E-2</v>
      </c>
      <c r="C2" s="10">
        <v>1.0664150365304677E-3</v>
      </c>
      <c r="D2" s="10">
        <v>-5.102383688897065E-2</v>
      </c>
      <c r="G2" s="5"/>
      <c r="H2" s="6" t="s">
        <v>3</v>
      </c>
      <c r="I2" s="7" t="s">
        <v>4</v>
      </c>
      <c r="J2" s="7" t="s">
        <v>5</v>
      </c>
    </row>
    <row r="3" spans="1:18" x14ac:dyDescent="0.35">
      <c r="A3" s="9">
        <v>43435</v>
      </c>
      <c r="B3" s="10">
        <v>-6.4424540312854189E-2</v>
      </c>
      <c r="C3" s="10">
        <v>-1.0116551650739896E-2</v>
      </c>
      <c r="D3" s="10">
        <v>-6.1679223025917253E-2</v>
      </c>
      <c r="G3" s="6" t="s">
        <v>3</v>
      </c>
      <c r="H3" s="5" cm="1">
        <f t="array" ref="H3:J5">MMULT(TRANSPOSE(B2:D62-B65:D65),B2:D62-B65:D65)/3</f>
        <v>6.9902253395155559E-2</v>
      </c>
      <c r="I3" s="5">
        <v>5.2362800749310261E-2</v>
      </c>
      <c r="J3" s="5">
        <v>5.9781041952844387E-2</v>
      </c>
    </row>
    <row r="4" spans="1:18" x14ac:dyDescent="0.35">
      <c r="A4" s="9">
        <v>43466</v>
      </c>
      <c r="B4" s="10">
        <v>6.6607897278163474E-3</v>
      </c>
      <c r="C4" s="10">
        <v>0.10439693892481547</v>
      </c>
      <c r="D4" s="10">
        <v>6.2752582451203229E-2</v>
      </c>
      <c r="G4" s="7" t="s">
        <v>4</v>
      </c>
      <c r="H4" s="5">
        <v>5.2362800749310261E-2</v>
      </c>
      <c r="I4" s="5">
        <v>0.14806656328897708</v>
      </c>
      <c r="J4" s="5">
        <v>5.8656332800625259E-2</v>
      </c>
    </row>
    <row r="5" spans="1:18" x14ac:dyDescent="0.35">
      <c r="A5" s="9">
        <v>43497</v>
      </c>
      <c r="B5" s="10">
        <v>-2.0628540159578608E-2</v>
      </c>
      <c r="C5" s="10">
        <v>4.7020004372877899E-2</v>
      </c>
      <c r="D5" s="10">
        <v>3.9832006947807336E-2</v>
      </c>
      <c r="G5" s="7" t="s">
        <v>5</v>
      </c>
      <c r="H5" s="5">
        <v>5.9781041952844387E-2</v>
      </c>
      <c r="I5" s="5">
        <v>5.8656332800625259E-2</v>
      </c>
      <c r="J5" s="5">
        <v>0.16408126095769518</v>
      </c>
    </row>
    <row r="6" spans="1:18" x14ac:dyDescent="0.35">
      <c r="A6" s="9">
        <v>43525</v>
      </c>
      <c r="B6" s="10">
        <v>-2.0367808936397032E-3</v>
      </c>
      <c r="C6" s="10">
        <v>-1.7729885049385531E-2</v>
      </c>
      <c r="D6" s="10">
        <v>-2.2140222286459166E-2</v>
      </c>
    </row>
    <row r="7" spans="1:18" x14ac:dyDescent="0.35">
      <c r="A7" s="9">
        <v>43556</v>
      </c>
      <c r="B7" s="10">
        <v>7.8749604653041996E-2</v>
      </c>
      <c r="C7" s="10">
        <v>4.5670927120027252E-2</v>
      </c>
      <c r="D7" s="10">
        <v>1.2923250045733508E-2</v>
      </c>
      <c r="G7" s="5"/>
      <c r="H7" s="5"/>
      <c r="I7" s="5" t="s">
        <v>14</v>
      </c>
      <c r="J7" s="5" t="s">
        <v>15</v>
      </c>
      <c r="K7" s="5" t="s">
        <v>16</v>
      </c>
      <c r="L7" s="5" t="s">
        <v>17</v>
      </c>
      <c r="M7" s="5" t="s">
        <v>18</v>
      </c>
      <c r="N7" s="5" t="s">
        <v>19</v>
      </c>
      <c r="O7" s="5" t="s">
        <v>20</v>
      </c>
      <c r="P7" s="5" t="s">
        <v>21</v>
      </c>
      <c r="Q7" s="5" t="s">
        <v>22</v>
      </c>
      <c r="R7" s="5"/>
    </row>
    <row r="8" spans="1:18" x14ac:dyDescent="0.35">
      <c r="A8" s="9">
        <v>43586</v>
      </c>
      <c r="B8" s="10">
        <v>-8.9013005292367497E-2</v>
      </c>
      <c r="C8" s="10">
        <v>-0.12171220286782174</v>
      </c>
      <c r="D8" s="10">
        <v>-7.4905634185065531E-2</v>
      </c>
      <c r="G8" s="5"/>
      <c r="H8" s="11" t="s">
        <v>12</v>
      </c>
      <c r="I8" s="13">
        <v>0.9</v>
      </c>
      <c r="J8" s="13">
        <v>0.8</v>
      </c>
      <c r="K8" s="13">
        <v>0.7</v>
      </c>
      <c r="L8" s="13">
        <v>0.6</v>
      </c>
      <c r="M8" s="13">
        <v>0.5</v>
      </c>
      <c r="N8" s="13">
        <v>0.4</v>
      </c>
      <c r="O8" s="13">
        <v>0.3</v>
      </c>
      <c r="P8" s="13">
        <v>0.2</v>
      </c>
      <c r="Q8" s="13">
        <v>0.1</v>
      </c>
      <c r="R8" s="11" t="s">
        <v>13</v>
      </c>
    </row>
    <row r="9" spans="1:18" x14ac:dyDescent="0.35">
      <c r="A9" s="9">
        <v>43617</v>
      </c>
      <c r="B9" s="10">
        <v>7.9779151856743516E-2</v>
      </c>
      <c r="C9" s="10">
        <v>9.1309989576812231E-2</v>
      </c>
      <c r="D9" s="10">
        <v>8.3301249342999553E-2</v>
      </c>
      <c r="G9" s="12" t="s">
        <v>3</v>
      </c>
      <c r="H9" s="14">
        <v>0.78727933614297796</v>
      </c>
      <c r="I9" s="14">
        <f>I$8*$H9+(1-I$8)*$R9</f>
        <v>0.70855132380074659</v>
      </c>
      <c r="J9" s="14">
        <f t="shared" ref="J9:Q9" si="0">J$8*$H9+(1-J$8)*$R9</f>
        <v>0.62982331145851522</v>
      </c>
      <c r="K9" s="14">
        <f t="shared" si="0"/>
        <v>0.55109529911628363</v>
      </c>
      <c r="L9" s="14">
        <f t="shared" si="0"/>
        <v>0.47236728677405226</v>
      </c>
      <c r="M9" s="14">
        <f t="shared" si="0"/>
        <v>0.3936392744318209</v>
      </c>
      <c r="N9" s="14">
        <f t="shared" si="0"/>
        <v>0.31491126208958953</v>
      </c>
      <c r="O9" s="14">
        <f t="shared" si="0"/>
        <v>0.23618324974735808</v>
      </c>
      <c r="P9" s="14">
        <f t="shared" si="0"/>
        <v>0.15745523740512671</v>
      </c>
      <c r="Q9" s="14">
        <f t="shared" si="0"/>
        <v>7.8727225062895298E-2</v>
      </c>
      <c r="R9" s="14">
        <v>-7.8727933612191395E-7</v>
      </c>
    </row>
    <row r="10" spans="1:18" x14ac:dyDescent="0.35">
      <c r="A10" s="9">
        <v>43647</v>
      </c>
      <c r="B10" s="10">
        <v>-3.6309072911845673E-2</v>
      </c>
      <c r="C10" s="10">
        <v>2.4776747351731059E-2</v>
      </c>
      <c r="D10" s="10">
        <v>-6.0031528988906901E-2</v>
      </c>
      <c r="G10" s="11" t="s">
        <v>4</v>
      </c>
      <c r="H10" s="14">
        <v>0.14507802264000899</v>
      </c>
      <c r="I10" s="14">
        <f t="shared" ref="I10:Q12" si="1">I$8*$H10+(1-I$8)*$R10</f>
        <v>0.1305702203760081</v>
      </c>
      <c r="J10" s="14">
        <f t="shared" si="1"/>
        <v>0.1160624181120072</v>
      </c>
      <c r="K10" s="14">
        <f t="shared" si="1"/>
        <v>0.10155461584800629</v>
      </c>
      <c r="L10" s="14">
        <f t="shared" si="1"/>
        <v>8.7046813584005386E-2</v>
      </c>
      <c r="M10" s="14">
        <f t="shared" si="1"/>
        <v>7.2539011320004496E-2</v>
      </c>
      <c r="N10" s="14">
        <f t="shared" si="1"/>
        <v>5.8031209056003598E-2</v>
      </c>
      <c r="O10" s="14">
        <f t="shared" si="1"/>
        <v>4.3523406792002693E-2</v>
      </c>
      <c r="P10" s="14">
        <f t="shared" si="1"/>
        <v>2.9015604528001799E-2</v>
      </c>
      <c r="Q10" s="14">
        <f t="shared" si="1"/>
        <v>1.4507802264000899E-2</v>
      </c>
      <c r="R10" s="14">
        <v>0</v>
      </c>
    </row>
    <row r="11" spans="1:18" x14ac:dyDescent="0.35">
      <c r="A11" s="9">
        <v>43678</v>
      </c>
      <c r="B11" s="10">
        <v>-9.8329799388155049E-3</v>
      </c>
      <c r="C11" s="10">
        <v>-1.7784559272306495E-2</v>
      </c>
      <c r="D11" s="10">
        <v>-3.5176020845292817E-2</v>
      </c>
      <c r="G11" s="11" t="s">
        <v>5</v>
      </c>
      <c r="H11" s="14">
        <v>6.7642650591082668E-2</v>
      </c>
      <c r="I11" s="14">
        <f t="shared" si="1"/>
        <v>0.16087846068351253</v>
      </c>
      <c r="J11" s="14">
        <f t="shared" si="1"/>
        <v>0.25411427077594234</v>
      </c>
      <c r="K11" s="14">
        <f t="shared" si="1"/>
        <v>0.34735008086837227</v>
      </c>
      <c r="L11" s="14">
        <f t="shared" si="1"/>
        <v>0.44058589096080214</v>
      </c>
      <c r="M11" s="14">
        <f t="shared" si="1"/>
        <v>0.53382170105323201</v>
      </c>
      <c r="N11" s="14">
        <f t="shared" si="1"/>
        <v>0.62705751114566177</v>
      </c>
      <c r="O11" s="14">
        <f t="shared" si="1"/>
        <v>0.72029332123809164</v>
      </c>
      <c r="P11" s="14">
        <f t="shared" si="1"/>
        <v>0.81352913133052163</v>
      </c>
      <c r="Q11" s="14">
        <f t="shared" si="1"/>
        <v>0.9067649414229515</v>
      </c>
      <c r="R11" s="14">
        <v>1.0000007515153813</v>
      </c>
    </row>
    <row r="12" spans="1:18" x14ac:dyDescent="0.35">
      <c r="A12" s="9">
        <v>43709</v>
      </c>
      <c r="B12" s="10">
        <v>2.2663585415395864E-2</v>
      </c>
      <c r="C12" s="10">
        <v>0.1143505489341326</v>
      </c>
      <c r="D12" s="10">
        <v>4.1666870745879998E-2</v>
      </c>
      <c r="G12" s="11" t="s">
        <v>10</v>
      </c>
      <c r="H12" s="14">
        <f>SUM(H9:H11)</f>
        <v>1.0000000093740697</v>
      </c>
      <c r="I12" s="14">
        <f>I$8*$H12+(1-I$8)*$R12</f>
        <v>1.0000000048602673</v>
      </c>
      <c r="J12" s="14">
        <f t="shared" si="1"/>
        <v>1.0000000003464649</v>
      </c>
      <c r="K12" s="14">
        <f t="shared" si="1"/>
        <v>0.99999999583266241</v>
      </c>
      <c r="L12" s="14">
        <f t="shared" si="1"/>
        <v>0.99999999131885986</v>
      </c>
      <c r="M12" s="14">
        <f t="shared" si="1"/>
        <v>0.99999998680505742</v>
      </c>
      <c r="N12" s="14">
        <f t="shared" si="1"/>
        <v>0.99999998229125486</v>
      </c>
      <c r="O12" s="14">
        <f t="shared" si="1"/>
        <v>0.99999997777745242</v>
      </c>
      <c r="P12" s="14">
        <f t="shared" si="1"/>
        <v>0.99999997326365009</v>
      </c>
      <c r="Q12" s="14">
        <f t="shared" si="1"/>
        <v>0.99999996874984765</v>
      </c>
      <c r="R12" s="14">
        <f>SUM(R9:R11)</f>
        <v>0.99999996423604509</v>
      </c>
    </row>
    <row r="13" spans="1:18" x14ac:dyDescent="0.35">
      <c r="A13" s="9">
        <v>43739</v>
      </c>
      <c r="B13" s="10">
        <v>2.1920959101606435E-2</v>
      </c>
      <c r="C13" s="10">
        <v>-4.65289170119947E-2</v>
      </c>
      <c r="D13" s="10">
        <v>2.6562990641824887E-2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x14ac:dyDescent="0.35">
      <c r="A14" s="9">
        <v>43770</v>
      </c>
      <c r="B14" s="10">
        <v>3.631574431916694E-2</v>
      </c>
      <c r="C14" s="10">
        <v>4.3997758079277874E-2</v>
      </c>
      <c r="D14" s="10">
        <v>-1.7100265882436245E-3</v>
      </c>
      <c r="G14" s="11" t="s">
        <v>9</v>
      </c>
      <c r="H14" s="10" cm="1">
        <f t="array" ref="H14">SUM(TRANSPOSE(H9:H11)*$B$65:$D$65)</f>
        <v>1.0591792278390282E-2</v>
      </c>
      <c r="I14" s="10" cm="1">
        <f t="array" ref="I14">SUM(TRANSPOSE(I9:I11)*$B$65:$D$65)</f>
        <v>1.0648413850082951E-2</v>
      </c>
      <c r="J14" s="10" cm="1">
        <f t="array" ref="J14">SUM(TRANSPOSE(J9:J11)*$B$65:$D$65)</f>
        <v>1.0705035421775623E-2</v>
      </c>
      <c r="K14" s="10" cm="1">
        <f t="array" ref="K14">SUM(TRANSPOSE(K9:K11)*$B$65:$D$65)</f>
        <v>1.076165699346829E-2</v>
      </c>
      <c r="L14" s="10" cm="1">
        <f t="array" ref="L14">SUM(TRANSPOSE(L9:L11)*$B$65:$D$65)</f>
        <v>1.081827856516096E-2</v>
      </c>
      <c r="M14" s="10" cm="1">
        <f t="array" ref="M14">SUM(TRANSPOSE(M9:M11)*$B$65:$D$65)</f>
        <v>1.0874900136853632E-2</v>
      </c>
      <c r="N14" s="10" cm="1">
        <f t="array" ref="N14">SUM(TRANSPOSE(N9:N11)*$B$65:$D$65)</f>
        <v>1.0931521708546301E-2</v>
      </c>
      <c r="O14" s="10" cm="1">
        <f t="array" ref="O14">SUM(TRANSPOSE(O9:O11)*$B$65:$D$65)</f>
        <v>1.098814328023897E-2</v>
      </c>
      <c r="P14" s="10" cm="1">
        <f t="array" ref="P14">SUM(TRANSPOSE(P9:P11)*$B$65:$D$65)</f>
        <v>1.1044764851931644E-2</v>
      </c>
      <c r="Q14" s="10" cm="1">
        <f t="array" ref="Q14">SUM(TRANSPOSE(Q9:Q11)*$B$65:$D$65)</f>
        <v>1.1101386423624314E-2</v>
      </c>
      <c r="R14" s="10" cm="1">
        <f t="array" ref="R14">SUM(TRANSPOSE(R9:R11)*$B$65:$D$65)</f>
        <v>1.1158007995316983E-2</v>
      </c>
    </row>
    <row r="15" spans="1:18" x14ac:dyDescent="0.35">
      <c r="A15" s="9">
        <v>43800</v>
      </c>
      <c r="B15" s="10">
        <v>2.8143426761551137E-2</v>
      </c>
      <c r="C15" s="10">
        <v>8.6472810742685147E-2</v>
      </c>
      <c r="D15" s="10">
        <v>5.2531250938983753E-2</v>
      </c>
      <c r="G15" s="11" t="s">
        <v>11</v>
      </c>
      <c r="H15" s="10" cm="1">
        <f t="array" ref="H15">SQRT(MMULT(MMULT(TRANSPOSE(H9:H11),_xlfn.ANCHORARRAY($H$3)),H9:H11))</f>
        <v>0.25821122416842879</v>
      </c>
      <c r="I15" s="10" cm="1">
        <f t="array" ref="I15">SQRT(MMULT(MMULT(TRANSPOSE(I9:I11),_xlfn.ANCHORARRAY($H$3)),I9:I11))</f>
        <v>0.26009059159093312</v>
      </c>
      <c r="J15" s="10" cm="1">
        <f t="array" ref="J15">SQRT(MMULT(MMULT(TRANSPOSE(J9:J11),_xlfn.ANCHORARRAY($H$3)),J9:J11))</f>
        <v>0.26564894854600035</v>
      </c>
      <c r="K15" s="10" cm="1">
        <f t="array" ref="K15">SQRT(MMULT(MMULT(TRANSPOSE(K9:K11),_xlfn.ANCHORARRAY($H$3)),K9:K11))</f>
        <v>0.27466303059381797</v>
      </c>
      <c r="L15" s="10" cm="1">
        <f t="array" ref="L15">SQRT(MMULT(MMULT(TRANSPOSE(L9:L11),_xlfn.ANCHORARRAY($H$3)),L9:L11))</f>
        <v>0.28680719197446336</v>
      </c>
      <c r="M15" s="10" cm="1">
        <f t="array" ref="M15">SQRT(MMULT(MMULT(TRANSPOSE(M9:M11),_xlfn.ANCHORARRAY($H$3)),M9:M11))</f>
        <v>0.3017036937849516</v>
      </c>
      <c r="N15" s="10" cm="1">
        <f t="array" ref="N15">SQRT(MMULT(MMULT(TRANSPOSE(N9:N11),_xlfn.ANCHORARRAY($H$3)),N9:N11))</f>
        <v>0.31896714689855127</v>
      </c>
      <c r="O15" s="10" cm="1">
        <f t="array" ref="O15">SQRT(MMULT(MMULT(TRANSPOSE(O9:O11),_xlfn.ANCHORARRAY($H$3)),O9:O11))</f>
        <v>0.33823531932610351</v>
      </c>
      <c r="P15" s="10" cm="1">
        <f t="array" ref="P15">SQRT(MMULT(MMULT(TRANSPOSE(P9:P11),_xlfn.ANCHORARRAY($H$3)),P9:P11))</f>
        <v>0.35918573212277172</v>
      </c>
      <c r="Q15" s="10" cm="1">
        <f t="array" ref="Q15">SQRT(MMULT(MMULT(TRANSPOSE(Q9:Q11),_xlfn.ANCHORARRAY($H$3)),Q9:Q11))</f>
        <v>0.381541370710206</v>
      </c>
      <c r="R15" s="10" cm="1">
        <f t="array" ref="R15">SQRT(MMULT(MMULT(TRANSPOSE(R9:R11),_xlfn.ANCHORARRAY($H$3)),R9:R11))</f>
        <v>0.40506964024496472</v>
      </c>
    </row>
    <row r="16" spans="1:18" x14ac:dyDescent="0.35">
      <c r="A16" s="9">
        <v>43831</v>
      </c>
      <c r="B16" s="10">
        <v>-9.1391037527593991E-3</v>
      </c>
      <c r="C16" s="10">
        <v>-4.9451925724171376E-2</v>
      </c>
      <c r="D16" s="10">
        <v>-0.12133795923445957</v>
      </c>
    </row>
    <row r="17" spans="1:4" x14ac:dyDescent="0.35">
      <c r="A17" s="9">
        <v>43862</v>
      </c>
      <c r="B17" s="10">
        <v>-8.060418644668399E-2</v>
      </c>
      <c r="C17" s="10">
        <v>-7.1858992305756014E-2</v>
      </c>
      <c r="D17" s="10">
        <v>-0.10022040159557989</v>
      </c>
    </row>
    <row r="18" spans="1:4" x14ac:dyDescent="0.35">
      <c r="A18" s="9">
        <v>43891</v>
      </c>
      <c r="B18" s="10">
        <v>-0.11393813344844693</v>
      </c>
      <c r="C18" s="10">
        <v>-7.1721148532513934E-2</v>
      </c>
      <c r="D18" s="10">
        <v>-0.13676398687587377</v>
      </c>
    </row>
    <row r="19" spans="1:4" x14ac:dyDescent="0.35">
      <c r="A19" s="9">
        <v>43922</v>
      </c>
      <c r="B19" s="10">
        <v>2.4777109612458482E-2</v>
      </c>
      <c r="C19" s="10">
        <v>5.3662155023906179E-2</v>
      </c>
      <c r="D19" s="10">
        <v>-3.5835237484809351E-2</v>
      </c>
    </row>
    <row r="20" spans="1:4" x14ac:dyDescent="0.35">
      <c r="A20" s="9">
        <v>43952</v>
      </c>
      <c r="B20" s="10">
        <v>-9.5004215974572054E-3</v>
      </c>
      <c r="C20" s="10">
        <v>0.13076394157682572</v>
      </c>
      <c r="D20" s="10">
        <v>6.9132193297564412E-2</v>
      </c>
    </row>
    <row r="21" spans="1:4" x14ac:dyDescent="0.35">
      <c r="A21" s="9">
        <v>43983</v>
      </c>
      <c r="B21" s="10">
        <v>-3.809681497901915E-2</v>
      </c>
      <c r="C21" s="10">
        <v>-2.8951914125685059E-3</v>
      </c>
      <c r="D21" s="10">
        <v>2.3416622947272096E-2</v>
      </c>
    </row>
    <row r="22" spans="1:4" x14ac:dyDescent="0.35">
      <c r="A22" s="9">
        <v>44013</v>
      </c>
      <c r="B22" s="10">
        <v>9.6745305493958475E-2</v>
      </c>
      <c r="C22" s="10">
        <v>-4.4877604742542673E-3</v>
      </c>
      <c r="D22" s="10">
        <v>-1.140820147351003E-3</v>
      </c>
    </row>
    <row r="23" spans="1:4" x14ac:dyDescent="0.35">
      <c r="A23" s="9">
        <v>44044</v>
      </c>
      <c r="B23" s="10">
        <v>0.11369901988813477</v>
      </c>
      <c r="C23" s="10">
        <v>0.14629667371004282</v>
      </c>
      <c r="D23" s="10">
        <v>5.0716953201645786E-2</v>
      </c>
    </row>
    <row r="24" spans="1:4" x14ac:dyDescent="0.35">
      <c r="A24" s="9">
        <v>44075</v>
      </c>
      <c r="B24" s="10">
        <v>-2.3390163106453671E-2</v>
      </c>
      <c r="C24" s="10">
        <v>0.12448027360012207</v>
      </c>
      <c r="D24" s="10">
        <v>-0.13318157428721944</v>
      </c>
    </row>
    <row r="25" spans="1:4" x14ac:dyDescent="0.35">
      <c r="A25" s="9">
        <v>44105</v>
      </c>
      <c r="B25" s="10">
        <v>-5.1845627389446536E-2</v>
      </c>
      <c r="C25" s="10">
        <v>-4.3492080663636017E-2</v>
      </c>
      <c r="D25" s="10">
        <v>-9.5457473229339992E-2</v>
      </c>
    </row>
    <row r="26" spans="1:4" x14ac:dyDescent="0.35">
      <c r="A26" s="9">
        <v>44136</v>
      </c>
      <c r="B26" s="10">
        <v>0.13377915206872168</v>
      </c>
      <c r="C26" s="10">
        <v>0.12175197680471589</v>
      </c>
      <c r="D26" s="10">
        <v>0.38938322742573478</v>
      </c>
    </row>
    <row r="27" spans="1:4" x14ac:dyDescent="0.35">
      <c r="A27" s="9">
        <v>44166</v>
      </c>
      <c r="B27" s="10">
        <v>1.293080664137336E-2</v>
      </c>
      <c r="C27" s="10">
        <v>5.0260178155095925E-2</v>
      </c>
      <c r="D27" s="10">
        <v>-5.4578815533792915E-3</v>
      </c>
    </row>
    <row r="28" spans="1:4" x14ac:dyDescent="0.35">
      <c r="A28" s="9">
        <v>44197</v>
      </c>
      <c r="B28" s="10">
        <v>-1.725104621665257E-2</v>
      </c>
      <c r="C28" s="10">
        <v>-5.3801200471034635E-2</v>
      </c>
      <c r="D28" s="10">
        <v>2.3139795468526625E-2</v>
      </c>
    </row>
    <row r="29" spans="1:4" x14ac:dyDescent="0.35">
      <c r="A29" s="9">
        <v>44228</v>
      </c>
      <c r="B29" s="10">
        <v>5.5470225467815611E-2</v>
      </c>
      <c r="C29" s="10">
        <v>8.907941421693235E-3</v>
      </c>
      <c r="D29" s="10">
        <v>0.10266163341509292</v>
      </c>
    </row>
    <row r="30" spans="1:4" x14ac:dyDescent="0.35">
      <c r="A30" s="9">
        <v>44256</v>
      </c>
      <c r="B30" s="10">
        <v>6.2201182117192229E-2</v>
      </c>
      <c r="C30" s="10">
        <v>-1.2018316155523984E-2</v>
      </c>
      <c r="D30" s="10">
        <v>3.0172537511945177E-3</v>
      </c>
    </row>
    <row r="31" spans="1:4" x14ac:dyDescent="0.35">
      <c r="A31" s="9">
        <v>44287</v>
      </c>
      <c r="B31" s="10">
        <v>7.6251657430415939E-2</v>
      </c>
      <c r="C31" s="10">
        <v>-2.0319944610956843E-3</v>
      </c>
      <c r="D31" s="10">
        <v>-3.2620144947450011E-2</v>
      </c>
    </row>
    <row r="32" spans="1:4" x14ac:dyDescent="0.35">
      <c r="A32" s="9">
        <v>44317</v>
      </c>
      <c r="B32" s="10">
        <v>5.2700452328039819E-2</v>
      </c>
      <c r="C32" s="10">
        <v>2.895522033123149E-2</v>
      </c>
      <c r="D32" s="10">
        <v>5.4426217252503954E-2</v>
      </c>
    </row>
    <row r="33" spans="1:4" x14ac:dyDescent="0.35">
      <c r="A33" s="9">
        <v>44348</v>
      </c>
      <c r="B33" s="10">
        <v>-3.9800956745432894E-2</v>
      </c>
      <c r="C33" s="10">
        <v>0.13441117558428003</v>
      </c>
      <c r="D33" s="10">
        <v>-3.0627441776867947E-2</v>
      </c>
    </row>
    <row r="34" spans="1:4" x14ac:dyDescent="0.35">
      <c r="A34" s="9">
        <v>44378</v>
      </c>
      <c r="B34" s="10">
        <v>1.3313039100930622E-3</v>
      </c>
      <c r="C34" s="10">
        <v>8.4276981365941264E-2</v>
      </c>
      <c r="D34" s="10">
        <v>-1.960602460299149E-2</v>
      </c>
    </row>
    <row r="35" spans="1:4" x14ac:dyDescent="0.35">
      <c r="A35" s="9">
        <v>44409</v>
      </c>
      <c r="B35" s="10">
        <v>2.6878363426981713E-2</v>
      </c>
      <c r="C35" s="10">
        <v>-1.6536204320949478E-2</v>
      </c>
      <c r="D35" s="10">
        <v>1.5127185263423415E-2</v>
      </c>
    </row>
    <row r="36" spans="1:4" x14ac:dyDescent="0.35">
      <c r="A36" s="9">
        <v>44440</v>
      </c>
      <c r="B36" s="10">
        <v>-4.4896201469217314E-2</v>
      </c>
      <c r="C36" s="10">
        <v>-0.11697435331755815</v>
      </c>
      <c r="D36" s="10">
        <v>8.2185502587654169E-2</v>
      </c>
    </row>
    <row r="37" spans="1:4" x14ac:dyDescent="0.35">
      <c r="A37" s="9">
        <v>44470</v>
      </c>
      <c r="B37" s="10">
        <v>5.1549820095626843E-2</v>
      </c>
      <c r="C37" s="10">
        <v>0.15189692250972484</v>
      </c>
      <c r="D37" s="10">
        <v>6.354303384506145E-2</v>
      </c>
    </row>
    <row r="38" spans="1:4" x14ac:dyDescent="0.35">
      <c r="A38" s="9">
        <v>44501</v>
      </c>
      <c r="B38" s="10">
        <v>-3.5956961919202848E-2</v>
      </c>
      <c r="C38" s="10">
        <v>1.1656607350678147E-2</v>
      </c>
      <c r="D38" s="10">
        <v>-8.2218944212028092E-2</v>
      </c>
    </row>
    <row r="39" spans="1:4" x14ac:dyDescent="0.35">
      <c r="A39" s="9">
        <v>44531</v>
      </c>
      <c r="B39" s="10">
        <v>8.0631746137325225E-2</v>
      </c>
      <c r="C39" s="10">
        <v>-1.5185584980890322E-2</v>
      </c>
      <c r="D39" s="10">
        <v>7.5451275021641492E-2</v>
      </c>
    </row>
    <row r="40" spans="1:4" x14ac:dyDescent="0.35">
      <c r="A40" s="9">
        <v>44562</v>
      </c>
      <c r="B40" s="10">
        <v>4.6889595317725782E-2</v>
      </c>
      <c r="C40" s="10">
        <v>-0.11000109365837127</v>
      </c>
      <c r="D40" s="10">
        <v>0.16550672188760079</v>
      </c>
    </row>
    <row r="41" spans="1:4" x14ac:dyDescent="0.35">
      <c r="A41" s="9">
        <v>44593</v>
      </c>
      <c r="B41" s="10">
        <v>2.6931260929793227E-2</v>
      </c>
      <c r="C41" s="10">
        <v>-7.7800909095231727E-2</v>
      </c>
      <c r="D41" s="10">
        <v>-0.11038726124020751</v>
      </c>
    </row>
    <row r="42" spans="1:4" x14ac:dyDescent="0.35">
      <c r="A42" s="9">
        <v>44621</v>
      </c>
      <c r="B42" s="10">
        <v>9.7869002412729722E-2</v>
      </c>
      <c r="C42" s="10">
        <v>-1.4573571271429558E-2</v>
      </c>
      <c r="D42" s="10">
        <v>1.9785794942084022E-4</v>
      </c>
    </row>
    <row r="43" spans="1:4" x14ac:dyDescent="0.35">
      <c r="A43" s="9">
        <v>44652</v>
      </c>
      <c r="B43" s="10">
        <v>-8.5234242892134049E-2</v>
      </c>
      <c r="C43" s="10">
        <v>-7.1161098163494182E-2</v>
      </c>
      <c r="D43" s="10">
        <v>-2.1978600584125738E-2</v>
      </c>
    </row>
    <row r="44" spans="1:4" x14ac:dyDescent="0.35">
      <c r="A44" s="9">
        <v>44682</v>
      </c>
      <c r="B44" s="10">
        <v>-2.1218524535640569E-2</v>
      </c>
      <c r="C44" s="10">
        <v>-4.6912590871210642E-2</v>
      </c>
      <c r="D44" s="10">
        <v>0.20714435021783098</v>
      </c>
    </row>
    <row r="45" spans="1:4" x14ac:dyDescent="0.35">
      <c r="A45" s="9">
        <v>44713</v>
      </c>
      <c r="B45" s="10">
        <v>-0.13595803691518948</v>
      </c>
      <c r="C45" s="10">
        <v>-0.14009256952747312</v>
      </c>
      <c r="D45" s="10">
        <v>-0.10476198750429724</v>
      </c>
    </row>
    <row r="46" spans="1:4" x14ac:dyDescent="0.35">
      <c r="A46" s="9">
        <v>44743</v>
      </c>
      <c r="B46" s="10">
        <v>0.10101830675848425</v>
      </c>
      <c r="C46" s="10">
        <v>0.12724766649526173</v>
      </c>
      <c r="D46" s="10">
        <v>-1.7852423590826037E-2</v>
      </c>
    </row>
    <row r="47" spans="1:4" x14ac:dyDescent="0.35">
      <c r="A47" s="9">
        <v>44774</v>
      </c>
      <c r="B47" s="10">
        <v>-6.5868322038556526E-2</v>
      </c>
      <c r="C47" s="10">
        <v>-7.3703409072221171E-2</v>
      </c>
      <c r="D47" s="10">
        <v>-1.0771722488132766E-2</v>
      </c>
    </row>
    <row r="48" spans="1:4" x14ac:dyDescent="0.35">
      <c r="A48" s="9">
        <v>44805</v>
      </c>
      <c r="B48" s="10">
        <v>-4.9074072610003017E-2</v>
      </c>
      <c r="C48" s="10">
        <v>-0.21916383150167604</v>
      </c>
      <c r="D48" s="10">
        <v>-7.8994191712850562E-2</v>
      </c>
    </row>
    <row r="49" spans="1:4" x14ac:dyDescent="0.35">
      <c r="A49" s="9">
        <v>44835</v>
      </c>
      <c r="B49" s="10">
        <v>0.105123242290299</v>
      </c>
      <c r="C49" s="10">
        <v>0.11821708376597187</v>
      </c>
      <c r="D49" s="10">
        <v>0.19369212567357455</v>
      </c>
    </row>
    <row r="50" spans="1:4" x14ac:dyDescent="0.35">
      <c r="A50" s="9">
        <v>44866</v>
      </c>
      <c r="B50" s="10">
        <v>7.9670643934672811E-2</v>
      </c>
      <c r="C50" s="10">
        <v>0.18353483527332362</v>
      </c>
      <c r="D50" s="10">
        <v>0.13967496420979897</v>
      </c>
    </row>
    <row r="51" spans="1:4" x14ac:dyDescent="0.35">
      <c r="A51" s="9">
        <v>44896</v>
      </c>
      <c r="B51" s="10">
        <v>-3.044573702864279E-2</v>
      </c>
      <c r="C51" s="10">
        <v>6.673342112684956E-2</v>
      </c>
      <c r="D51" s="10">
        <v>-5.446897213939028E-3</v>
      </c>
    </row>
    <row r="52" spans="1:4" x14ac:dyDescent="0.35">
      <c r="A52" s="9">
        <v>44927</v>
      </c>
      <c r="B52" s="10">
        <v>8.4816932693110286E-3</v>
      </c>
      <c r="C52" s="10">
        <v>9.1537758226403643E-2</v>
      </c>
      <c r="D52" s="10">
        <v>2.8660190905211803E-2</v>
      </c>
    </row>
    <row r="53" spans="1:4" x14ac:dyDescent="0.35">
      <c r="A53" s="9">
        <v>44958</v>
      </c>
      <c r="B53" s="10">
        <v>-2.0351811196295286E-2</v>
      </c>
      <c r="C53" s="10">
        <v>-6.7069865977878396E-2</v>
      </c>
      <c r="D53" s="10">
        <v>-2.0954959355462405E-3</v>
      </c>
    </row>
    <row r="54" spans="1:4" x14ac:dyDescent="0.35">
      <c r="A54" s="9">
        <v>44986</v>
      </c>
      <c r="B54" s="10">
        <v>1.1763536543498069E-2</v>
      </c>
      <c r="C54" s="10">
        <v>3.241020814795275E-2</v>
      </c>
      <c r="D54" s="10">
        <v>-4.6196088791659699E-2</v>
      </c>
    </row>
    <row r="55" spans="1:4" x14ac:dyDescent="0.35">
      <c r="A55" s="9">
        <v>45017</v>
      </c>
      <c r="B55" s="10">
        <v>6.4060626695167502E-2</v>
      </c>
      <c r="C55" s="10">
        <v>3.6214349015521785E-2</v>
      </c>
      <c r="D55" s="10">
        <v>9.6884398976360669E-2</v>
      </c>
    </row>
    <row r="56" spans="1:4" x14ac:dyDescent="0.35">
      <c r="A56" s="9">
        <v>45047</v>
      </c>
      <c r="B56" s="10">
        <v>-2.2736269282712523E-2</v>
      </c>
      <c r="C56" s="10">
        <v>-0.16934975804410665</v>
      </c>
      <c r="D56" s="10">
        <v>-0.11934930404152409</v>
      </c>
    </row>
    <row r="57" spans="1:4" x14ac:dyDescent="0.35">
      <c r="A57" s="9">
        <v>45078</v>
      </c>
      <c r="B57" s="10">
        <v>6.2040655931632334E-2</v>
      </c>
      <c r="C57" s="10">
        <v>4.8546467385477902E-2</v>
      </c>
      <c r="D57" s="10">
        <v>2.3801099673183387E-2</v>
      </c>
    </row>
    <row r="58" spans="1:4" x14ac:dyDescent="0.35">
      <c r="A58" s="9">
        <v>45108</v>
      </c>
      <c r="B58" s="10">
        <v>3.2140736070381239E-2</v>
      </c>
      <c r="C58" s="10">
        <v>3.4734446555674753E-3</v>
      </c>
      <c r="D58" s="10">
        <v>7.0140031285963939E-2</v>
      </c>
    </row>
    <row r="59" spans="1:4" x14ac:dyDescent="0.35">
      <c r="A59" s="9">
        <v>45139</v>
      </c>
      <c r="B59" s="10">
        <v>2.3411811599915663E-2</v>
      </c>
      <c r="C59" s="10">
        <v>-7.8630329609586033E-2</v>
      </c>
      <c r="D59" s="10">
        <v>3.3853754796379622E-2</v>
      </c>
    </row>
    <row r="60" spans="1:4" x14ac:dyDescent="0.35">
      <c r="A60" s="9">
        <v>45170</v>
      </c>
      <c r="B60" s="10">
        <v>-2.7484796419162891E-2</v>
      </c>
      <c r="C60" s="10">
        <v>-5.9876110282929419E-2</v>
      </c>
      <c r="D60" s="10">
        <v>4.5302846170665087E-2</v>
      </c>
    </row>
    <row r="61" spans="1:4" x14ac:dyDescent="0.35">
      <c r="A61" s="9">
        <v>45200</v>
      </c>
      <c r="B61" s="10">
        <v>-2.560662662654721E-2</v>
      </c>
      <c r="C61" s="10">
        <v>7.8380013152941755E-2</v>
      </c>
      <c r="D61" s="10">
        <v>2.5229671465295919E-2</v>
      </c>
    </row>
    <row r="62" spans="1:4" x14ac:dyDescent="0.35">
      <c r="A62" s="9">
        <v>45231</v>
      </c>
      <c r="B62" s="10">
        <v>3.0703458234391783E-2</v>
      </c>
      <c r="C62" s="10">
        <v>4.1743710472230425E-2</v>
      </c>
      <c r="D62" s="10">
        <v>-2.2522673349029704E-3</v>
      </c>
    </row>
    <row r="63" spans="1:4" x14ac:dyDescent="0.35">
      <c r="A63" s="1"/>
      <c r="B63" s="4"/>
      <c r="C63" s="4"/>
      <c r="D63" s="4"/>
    </row>
    <row r="65" spans="1:4" x14ac:dyDescent="0.35">
      <c r="A65" s="11" t="s">
        <v>6</v>
      </c>
      <c r="B65" s="15">
        <f>AVERAGE(B2:B62)</f>
        <v>1.0586464118432903E-2</v>
      </c>
      <c r="C65" s="15">
        <f t="shared" ref="C65:D65" si="2">AVERAGE(C2:C62)</f>
        <v>1.0356707205620347E-2</v>
      </c>
      <c r="D65" s="15">
        <f t="shared" si="2"/>
        <v>1.1158007944406832E-2</v>
      </c>
    </row>
    <row r="66" spans="1:4" x14ac:dyDescent="0.35">
      <c r="A66" s="11" t="s">
        <v>7</v>
      </c>
      <c r="B66" s="6">
        <f>_xlfn.STDEV.S(B2:B62)</f>
        <v>5.911947792189795E-2</v>
      </c>
      <c r="C66" s="6">
        <f t="shared" ref="C66:D66" si="3">_xlfn.STDEV.S(C2:C62)</f>
        <v>8.6042595058778037E-2</v>
      </c>
      <c r="D66" s="6">
        <f t="shared" si="3"/>
        <v>9.0576283031954669E-2</v>
      </c>
    </row>
  </sheetData>
  <mergeCells count="1">
    <mergeCell ref="G1:H1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Berkshire Hathaway(BRK.B)</vt:lpstr>
      <vt:lpstr>NIke(NKE)</vt:lpstr>
      <vt:lpstr>Total energies(TTE)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Sankari Ravipati</dc:creator>
  <cp:lastModifiedBy>Siva Sankari Ravipati</cp:lastModifiedBy>
  <dcterms:created xsi:type="dcterms:W3CDTF">2023-11-04T17:09:19Z</dcterms:created>
  <dcterms:modified xsi:type="dcterms:W3CDTF">2023-11-05T04:26:53Z</dcterms:modified>
</cp:coreProperties>
</file>