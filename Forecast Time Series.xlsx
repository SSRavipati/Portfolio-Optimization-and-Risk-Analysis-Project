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sank\Downloads\"/>
    </mc:Choice>
  </mc:AlternateContent>
  <xr:revisionPtr revIDLastSave="0" documentId="13_ncr:1_{5F7FEE98-C8F7-4AEE-9201-70579B716D61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Sheet1" sheetId="1" r:id="rId1"/>
    <sheet name="SES" sheetId="2" r:id="rId2"/>
    <sheet name="HLES" sheetId="3" r:id="rId3"/>
    <sheet name="HWas" sheetId="4" r:id="rId4"/>
    <sheet name="Sheet7" sheetId="7" r:id="rId5"/>
    <sheet name="Sheet11" sheetId="11" r:id="rId6"/>
    <sheet name="simple regression" sheetId="8" r:id="rId7"/>
    <sheet name="Sheet10" sheetId="10" r:id="rId8"/>
  </sheets>
  <definedNames>
    <definedName name="solver_adj" localSheetId="2" hidden="1">HLES!$J$1:$J$2</definedName>
    <definedName name="solver_adj" localSheetId="3" hidden="1">HWas!$J$1:$J$3</definedName>
    <definedName name="solver_adj" localSheetId="1" hidden="1">SES!$I$1</definedName>
    <definedName name="solver_adj" localSheetId="4" hidden="1">Sheet7!$J$1:$J$3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cvg" localSheetId="4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drv" localSheetId="4" hidden="1">1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eng" localSheetId="4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est" localSheetId="4" hidden="1">1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itr" localSheetId="4" hidden="1">2147483647</definedName>
    <definedName name="solver_lhs1" localSheetId="2" hidden="1">HLES!$J$1:$J$2</definedName>
    <definedName name="solver_lhs1" localSheetId="3" hidden="1">HWas!$J$1</definedName>
    <definedName name="solver_lhs1" localSheetId="1" hidden="1">SES!$I$1</definedName>
    <definedName name="solver_lhs1" localSheetId="4" hidden="1">Sheet7!$J$1:$J$3</definedName>
    <definedName name="solver_lhs2" localSheetId="2" hidden="1">HLES!$J$1:$J$2</definedName>
    <definedName name="solver_lhs2" localSheetId="3" hidden="1">HWas!$J$1</definedName>
    <definedName name="solver_lhs2" localSheetId="1" hidden="1">SES!$I$1</definedName>
    <definedName name="solver_lhs2" localSheetId="4" hidden="1">Sheet7!$J$1:$J$3</definedName>
    <definedName name="solver_lhs3" localSheetId="3" hidden="1">HWas!$J$2</definedName>
    <definedName name="solver_lhs4" localSheetId="3" hidden="1">HWas!$J$2</definedName>
    <definedName name="solver_lhs5" localSheetId="3" hidden="1">HWas!$J$3</definedName>
    <definedName name="solver_lhs6" localSheetId="3" hidden="1">HWas!$J$3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ip" localSheetId="4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ni" localSheetId="4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rt" localSheetId="4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msl" localSheetId="4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eg" localSheetId="4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od" localSheetId="4" hidden="1">2147483647</definedName>
    <definedName name="solver_num" localSheetId="2" hidden="1">2</definedName>
    <definedName name="solver_num" localSheetId="3" hidden="1">6</definedName>
    <definedName name="solver_num" localSheetId="1" hidden="1">2</definedName>
    <definedName name="solver_num" localSheetId="4" hidden="1">2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nwt" localSheetId="4" hidden="1">1</definedName>
    <definedName name="solver_opt" localSheetId="2" hidden="1">HLES!$J$3</definedName>
    <definedName name="solver_opt" localSheetId="3" hidden="1">HWas!$J$4</definedName>
    <definedName name="solver_opt" localSheetId="1" hidden="1">SES!$I$2</definedName>
    <definedName name="solver_opt" localSheetId="4" hidden="1">Sheet7!$J$4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pre" localSheetId="4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bv" localSheetId="4" hidden="1">1</definedName>
    <definedName name="solver_rel1" localSheetId="2" hidden="1">1</definedName>
    <definedName name="solver_rel1" localSheetId="3" hidden="1">1</definedName>
    <definedName name="solver_rel1" localSheetId="1" hidden="1">1</definedName>
    <definedName name="solver_rel1" localSheetId="4" hidden="1">1</definedName>
    <definedName name="solver_rel2" localSheetId="2" hidden="1">3</definedName>
    <definedName name="solver_rel2" localSheetId="3" hidden="1">3</definedName>
    <definedName name="solver_rel2" localSheetId="1" hidden="1">3</definedName>
    <definedName name="solver_rel2" localSheetId="4" hidden="1">3</definedName>
    <definedName name="solver_rel3" localSheetId="3" hidden="1">1</definedName>
    <definedName name="solver_rel4" localSheetId="3" hidden="1">3</definedName>
    <definedName name="solver_rel5" localSheetId="3" hidden="1">1</definedName>
    <definedName name="solver_rel6" localSheetId="3" hidden="1">3</definedName>
    <definedName name="solver_rhs1" localSheetId="2" hidden="1">1</definedName>
    <definedName name="solver_rhs1" localSheetId="3" hidden="1">1</definedName>
    <definedName name="solver_rhs1" localSheetId="1" hidden="1">1</definedName>
    <definedName name="solver_rhs1" localSheetId="4" hidden="1">1</definedName>
    <definedName name="solver_rhs2" localSheetId="2" hidden="1">0</definedName>
    <definedName name="solver_rhs2" localSheetId="3" hidden="1">0</definedName>
    <definedName name="solver_rhs2" localSheetId="1" hidden="1">0</definedName>
    <definedName name="solver_rhs2" localSheetId="4" hidden="1">0</definedName>
    <definedName name="solver_rhs3" localSheetId="3" hidden="1">1</definedName>
    <definedName name="solver_rhs4" localSheetId="3" hidden="1">0</definedName>
    <definedName name="solver_rhs5" localSheetId="3" hidden="1">1</definedName>
    <definedName name="solver_rhs6" localSheetId="3" hidden="1">0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lx" localSheetId="4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rsd" localSheetId="4" hidden="1">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cl" localSheetId="4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ho" localSheetId="4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ssz" localSheetId="4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im" localSheetId="4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ol" localSheetId="4" hidden="1">0.01</definedName>
    <definedName name="solver_typ" localSheetId="2" hidden="1">2</definedName>
    <definedName name="solver_typ" localSheetId="3" hidden="1">2</definedName>
    <definedName name="solver_typ" localSheetId="1" hidden="1">2</definedName>
    <definedName name="solver_typ" localSheetId="4" hidden="1">2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al" localSheetId="4" hidden="1">0</definedName>
    <definedName name="solver_ver" localSheetId="2" hidden="1">3</definedName>
    <definedName name="solver_ver" localSheetId="3" hidden="1">3</definedName>
    <definedName name="solver_ver" localSheetId="1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F32" i="11"/>
  <c r="I4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6" i="11"/>
  <c r="E32" i="11"/>
  <c r="E7" i="11"/>
  <c r="E8" i="11"/>
  <c r="E9" i="11"/>
  <c r="E10" i="11"/>
  <c r="D7" i="11"/>
  <c r="C8" i="11" s="1"/>
  <c r="C7" i="11"/>
  <c r="E6" i="11"/>
  <c r="D6" i="11"/>
  <c r="E3" i="11"/>
  <c r="E4" i="11"/>
  <c r="E5" i="11"/>
  <c r="E2" i="11"/>
  <c r="C6" i="11" s="1"/>
  <c r="C5" i="11"/>
  <c r="C5" i="7"/>
  <c r="D8" i="11" l="1"/>
  <c r="C9" i="11" s="1"/>
  <c r="D3" i="10"/>
  <c r="G3" i="10" s="1"/>
  <c r="D4" i="10"/>
  <c r="D5" i="10"/>
  <c r="D6" i="10"/>
  <c r="D7" i="10"/>
  <c r="D8" i="10"/>
  <c r="D9" i="10"/>
  <c r="D10" i="10"/>
  <c r="D11" i="10"/>
  <c r="D12" i="10"/>
  <c r="D13" i="10"/>
  <c r="G13" i="10" s="1"/>
  <c r="D14" i="10"/>
  <c r="G14" i="10" s="1"/>
  <c r="D15" i="10"/>
  <c r="G15" i="10" s="1"/>
  <c r="D16" i="10"/>
  <c r="G16" i="10" s="1"/>
  <c r="D17" i="10"/>
  <c r="G17" i="10" s="1"/>
  <c r="D18" i="10"/>
  <c r="G18" i="10" s="1"/>
  <c r="D19" i="10"/>
  <c r="G19" i="10" s="1"/>
  <c r="D20" i="10"/>
  <c r="D21" i="10"/>
  <c r="D22" i="10"/>
  <c r="D23" i="10"/>
  <c r="D24" i="10"/>
  <c r="D25" i="10"/>
  <c r="D26" i="10"/>
  <c r="D27" i="10"/>
  <c r="D28" i="10"/>
  <c r="D29" i="10"/>
  <c r="G29" i="10" s="1"/>
  <c r="D30" i="10"/>
  <c r="G30" i="10" s="1"/>
  <c r="D31" i="10"/>
  <c r="G31" i="10" s="1"/>
  <c r="D32" i="10"/>
  <c r="G32" i="10" s="1"/>
  <c r="D33" i="10"/>
  <c r="D34" i="10"/>
  <c r="G34" i="10" s="1"/>
  <c r="D35" i="10"/>
  <c r="G35" i="10" s="1"/>
  <c r="D36" i="10"/>
  <c r="D37" i="10"/>
  <c r="D38" i="10"/>
  <c r="D39" i="10"/>
  <c r="D40" i="10"/>
  <c r="G40" i="10" s="1"/>
  <c r="D41" i="10"/>
  <c r="D42" i="10"/>
  <c r="D43" i="10"/>
  <c r="D44" i="10"/>
  <c r="D45" i="10"/>
  <c r="G45" i="10" s="1"/>
  <c r="D46" i="10"/>
  <c r="G46" i="10" s="1"/>
  <c r="E33" i="10"/>
  <c r="F33" i="10"/>
  <c r="G33" i="10"/>
  <c r="E34" i="10"/>
  <c r="F34" i="10"/>
  <c r="E35" i="10"/>
  <c r="F35" i="10"/>
  <c r="E36" i="10"/>
  <c r="F36" i="10"/>
  <c r="G36" i="10"/>
  <c r="E37" i="10"/>
  <c r="F37" i="10"/>
  <c r="G37" i="10"/>
  <c r="E38" i="10"/>
  <c r="F38" i="10"/>
  <c r="G38" i="10"/>
  <c r="G39" i="10"/>
  <c r="E39" i="10"/>
  <c r="F39" i="10"/>
  <c r="E40" i="10"/>
  <c r="F40" i="10"/>
  <c r="E41" i="10"/>
  <c r="F41" i="10"/>
  <c r="G41" i="10"/>
  <c r="E42" i="10"/>
  <c r="F42" i="10"/>
  <c r="G42" i="10"/>
  <c r="G43" i="10"/>
  <c r="E43" i="10"/>
  <c r="F43" i="10"/>
  <c r="E44" i="10"/>
  <c r="F44" i="10"/>
  <c r="G44" i="10"/>
  <c r="E45" i="10"/>
  <c r="F45" i="10"/>
  <c r="E46" i="10"/>
  <c r="F46" i="10"/>
  <c r="G4" i="10"/>
  <c r="G5" i="10"/>
  <c r="G6" i="10"/>
  <c r="G7" i="10"/>
  <c r="G8" i="10"/>
  <c r="G9" i="10"/>
  <c r="G10" i="10"/>
  <c r="G11" i="10"/>
  <c r="G12" i="10"/>
  <c r="G20" i="10"/>
  <c r="G21" i="10"/>
  <c r="G22" i="10"/>
  <c r="G23" i="10"/>
  <c r="G24" i="10"/>
  <c r="G25" i="10"/>
  <c r="G26" i="10"/>
  <c r="G27" i="10"/>
  <c r="G28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F2" i="10"/>
  <c r="E2" i="10"/>
  <c r="D2" i="10"/>
  <c r="D33" i="8"/>
  <c r="D34" i="8"/>
  <c r="D35" i="8"/>
  <c r="D36" i="8"/>
  <c r="D37" i="8"/>
  <c r="D38" i="8"/>
  <c r="D39" i="8"/>
  <c r="D40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2" i="8"/>
  <c r="D9" i="11" l="1"/>
  <c r="C10" i="11" s="1"/>
  <c r="D10" i="11" l="1"/>
  <c r="C11" i="11" s="1"/>
  <c r="E11" i="11" s="1"/>
  <c r="D11" i="11" l="1"/>
  <c r="C12" i="11" s="1"/>
  <c r="E12" i="11" s="1"/>
  <c r="E6" i="7"/>
  <c r="E3" i="7"/>
  <c r="E4" i="7"/>
  <c r="E5" i="7"/>
  <c r="E2" i="7"/>
  <c r="C6" i="7" s="1"/>
  <c r="E6" i="4"/>
  <c r="E11" i="4"/>
  <c r="E2" i="4"/>
  <c r="E32" i="4"/>
  <c r="C6" i="4"/>
  <c r="F6" i="4"/>
  <c r="E3" i="4"/>
  <c r="E4" i="4"/>
  <c r="E5" i="4"/>
  <c r="C5" i="4"/>
  <c r="E3" i="3"/>
  <c r="C3" i="3"/>
  <c r="C2" i="3"/>
  <c r="D2" i="3"/>
  <c r="D12" i="11" l="1"/>
  <c r="C13" i="11" s="1"/>
  <c r="E13" i="11" s="1"/>
  <c r="D6" i="7"/>
  <c r="F7" i="7" s="1"/>
  <c r="F6" i="7"/>
  <c r="D3" i="3"/>
  <c r="C4" i="3" s="1"/>
  <c r="D6" i="4"/>
  <c r="C7" i="4" s="1"/>
  <c r="D13" i="11" l="1"/>
  <c r="C14" i="11" s="1"/>
  <c r="E14" i="11" s="1"/>
  <c r="C7" i="7"/>
  <c r="E4" i="3"/>
  <c r="D4" i="3"/>
  <c r="E5" i="3" s="1"/>
  <c r="F7" i="4"/>
  <c r="E7" i="4"/>
  <c r="D7" i="4"/>
  <c r="F8" i="4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2" i="2"/>
  <c r="G4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6" i="1"/>
  <c r="G7" i="1"/>
  <c r="G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4" i="1"/>
  <c r="J24" i="1"/>
  <c r="K24" i="1" s="1"/>
  <c r="J25" i="1"/>
  <c r="K25" i="1" s="1"/>
  <c r="J26" i="1"/>
  <c r="K26" i="1" s="1"/>
  <c r="J23" i="1"/>
  <c r="K23" i="1" s="1"/>
  <c r="D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D33" i="1" s="1"/>
  <c r="B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14" i="11" l="1"/>
  <c r="C15" i="11" s="1"/>
  <c r="E15" i="11" s="1"/>
  <c r="E7" i="7"/>
  <c r="D7" i="7"/>
  <c r="C8" i="7" s="1"/>
  <c r="C5" i="3"/>
  <c r="D5" i="3" s="1"/>
  <c r="C8" i="4"/>
  <c r="I2" i="2"/>
  <c r="H28" i="1"/>
  <c r="D15" i="11" l="1"/>
  <c r="C16" i="11" s="1"/>
  <c r="E16" i="11" s="1"/>
  <c r="F8" i="7"/>
  <c r="D8" i="7"/>
  <c r="F9" i="7" s="1"/>
  <c r="E8" i="7"/>
  <c r="C6" i="3"/>
  <c r="D6" i="3" s="1"/>
  <c r="C7" i="3" s="1"/>
  <c r="E6" i="3"/>
  <c r="D8" i="4"/>
  <c r="C9" i="4" s="1"/>
  <c r="E8" i="4"/>
  <c r="D16" i="11" l="1"/>
  <c r="C17" i="11" s="1"/>
  <c r="E17" i="11" s="1"/>
  <c r="C9" i="7"/>
  <c r="E9" i="7" s="1"/>
  <c r="E7" i="3"/>
  <c r="D7" i="3"/>
  <c r="C8" i="3" s="1"/>
  <c r="E8" i="3"/>
  <c r="E9" i="4"/>
  <c r="D9" i="4"/>
  <c r="F10" i="4" s="1"/>
  <c r="F9" i="4"/>
  <c r="D17" i="11" l="1"/>
  <c r="C18" i="11" s="1"/>
  <c r="E18" i="11" s="1"/>
  <c r="D9" i="7"/>
  <c r="F10" i="7" s="1"/>
  <c r="C10" i="7"/>
  <c r="D10" i="7" s="1"/>
  <c r="F11" i="7" s="1"/>
  <c r="D8" i="3"/>
  <c r="E9" i="3" s="1"/>
  <c r="C9" i="3"/>
  <c r="C10" i="4"/>
  <c r="E10" i="4" s="1"/>
  <c r="D18" i="11" l="1"/>
  <c r="C19" i="11" s="1"/>
  <c r="E19" i="11" s="1"/>
  <c r="E10" i="7"/>
  <c r="C11" i="7"/>
  <c r="E11" i="7" s="1"/>
  <c r="D9" i="3"/>
  <c r="E10" i="3" s="1"/>
  <c r="D10" i="4"/>
  <c r="F11" i="4" s="1"/>
  <c r="C11" i="4"/>
  <c r="D19" i="11" l="1"/>
  <c r="C20" i="11" s="1"/>
  <c r="E20" i="11" s="1"/>
  <c r="D11" i="7"/>
  <c r="F12" i="7" s="1"/>
  <c r="C10" i="3"/>
  <c r="D10" i="3"/>
  <c r="C11" i="3" s="1"/>
  <c r="D11" i="4"/>
  <c r="C12" i="4" s="1"/>
  <c r="E12" i="4"/>
  <c r="D12" i="4"/>
  <c r="C13" i="4" s="1"/>
  <c r="F12" i="4"/>
  <c r="D20" i="11" l="1"/>
  <c r="C21" i="11" s="1"/>
  <c r="E21" i="11" s="1"/>
  <c r="C12" i="7"/>
  <c r="E12" i="7" s="1"/>
  <c r="D11" i="3"/>
  <c r="C12" i="3" s="1"/>
  <c r="E11" i="3"/>
  <c r="E13" i="4"/>
  <c r="D13" i="4"/>
  <c r="C14" i="4" s="1"/>
  <c r="F13" i="4"/>
  <c r="D21" i="11" l="1"/>
  <c r="C22" i="11" s="1"/>
  <c r="E22" i="11" s="1"/>
  <c r="D12" i="7"/>
  <c r="C13" i="7" s="1"/>
  <c r="D12" i="3"/>
  <c r="C13" i="3" s="1"/>
  <c r="E12" i="3"/>
  <c r="E14" i="4"/>
  <c r="D14" i="4"/>
  <c r="C15" i="4" s="1"/>
  <c r="F14" i="4"/>
  <c r="D22" i="11" l="1"/>
  <c r="C23" i="11" s="1"/>
  <c r="E23" i="11" s="1"/>
  <c r="E13" i="7"/>
  <c r="D13" i="7"/>
  <c r="F13" i="7"/>
  <c r="E13" i="3"/>
  <c r="D13" i="3"/>
  <c r="E14" i="3" s="1"/>
  <c r="E15" i="4"/>
  <c r="D15" i="4"/>
  <c r="C16" i="4" s="1"/>
  <c r="F15" i="4"/>
  <c r="D23" i="11" l="1"/>
  <c r="C24" i="11" s="1"/>
  <c r="E24" i="11" s="1"/>
  <c r="C14" i="7"/>
  <c r="F14" i="7"/>
  <c r="C14" i="3"/>
  <c r="D14" i="3" s="1"/>
  <c r="E16" i="4"/>
  <c r="D16" i="4"/>
  <c r="C17" i="4" s="1"/>
  <c r="F16" i="4"/>
  <c r="D24" i="11" l="1"/>
  <c r="C25" i="11" s="1"/>
  <c r="E25" i="11" s="1"/>
  <c r="D14" i="7"/>
  <c r="C15" i="7" s="1"/>
  <c r="E14" i="7"/>
  <c r="E15" i="3"/>
  <c r="C15" i="3"/>
  <c r="D15" i="3"/>
  <c r="E16" i="3" s="1"/>
  <c r="C16" i="3"/>
  <c r="E17" i="4"/>
  <c r="D17" i="4"/>
  <c r="C18" i="4" s="1"/>
  <c r="F17" i="4"/>
  <c r="D25" i="11" l="1"/>
  <c r="C26" i="11" s="1"/>
  <c r="E26" i="11" s="1"/>
  <c r="D15" i="7"/>
  <c r="F16" i="7" s="1"/>
  <c r="E15" i="7"/>
  <c r="C16" i="7"/>
  <c r="F15" i="7"/>
  <c r="D16" i="3"/>
  <c r="E17" i="3" s="1"/>
  <c r="E18" i="4"/>
  <c r="D18" i="4"/>
  <c r="C19" i="4" s="1"/>
  <c r="F18" i="4"/>
  <c r="D26" i="11" l="1"/>
  <c r="C27" i="11" s="1"/>
  <c r="E27" i="11" s="1"/>
  <c r="D16" i="7"/>
  <c r="F17" i="7" s="1"/>
  <c r="E16" i="7"/>
  <c r="C17" i="3"/>
  <c r="D17" i="3"/>
  <c r="E18" i="3" s="1"/>
  <c r="C18" i="3"/>
  <c r="E19" i="4"/>
  <c r="D19" i="4"/>
  <c r="C20" i="4" s="1"/>
  <c r="F19" i="4"/>
  <c r="D27" i="11" l="1"/>
  <c r="C28" i="11" s="1"/>
  <c r="E28" i="11" s="1"/>
  <c r="C17" i="7"/>
  <c r="D18" i="3"/>
  <c r="E19" i="3" s="1"/>
  <c r="E20" i="4"/>
  <c r="D20" i="4"/>
  <c r="C21" i="4" s="1"/>
  <c r="F20" i="4"/>
  <c r="D28" i="11" l="1"/>
  <c r="C29" i="11" s="1"/>
  <c r="E29" i="11" s="1"/>
  <c r="E17" i="7"/>
  <c r="D17" i="7"/>
  <c r="F18" i="7" s="1"/>
  <c r="C19" i="3"/>
  <c r="D19" i="3" s="1"/>
  <c r="E21" i="4"/>
  <c r="D21" i="4"/>
  <c r="C22" i="4" s="1"/>
  <c r="F21" i="4"/>
  <c r="D29" i="11" l="1"/>
  <c r="C30" i="11" s="1"/>
  <c r="E30" i="11" s="1"/>
  <c r="C18" i="7"/>
  <c r="E20" i="3"/>
  <c r="C20" i="3"/>
  <c r="D20" i="3"/>
  <c r="C21" i="3" s="1"/>
  <c r="E22" i="4"/>
  <c r="D22" i="4"/>
  <c r="C23" i="4" s="1"/>
  <c r="F22" i="4"/>
  <c r="D30" i="11" l="1"/>
  <c r="C31" i="11" s="1"/>
  <c r="E31" i="11" s="1"/>
  <c r="D18" i="7"/>
  <c r="F19" i="7" s="1"/>
  <c r="E18" i="7"/>
  <c r="D21" i="3"/>
  <c r="E22" i="3" s="1"/>
  <c r="C22" i="3"/>
  <c r="E21" i="3"/>
  <c r="E23" i="4"/>
  <c r="D23" i="4"/>
  <c r="C24" i="4" s="1"/>
  <c r="F23" i="4"/>
  <c r="D31" i="11" l="1"/>
  <c r="C32" i="11" s="1"/>
  <c r="D32" i="11" s="1"/>
  <c r="C19" i="7"/>
  <c r="D22" i="3"/>
  <c r="E23" i="3" s="1"/>
  <c r="E24" i="4"/>
  <c r="D24" i="4"/>
  <c r="C25" i="4" s="1"/>
  <c r="F24" i="4"/>
  <c r="D19" i="7" l="1"/>
  <c r="F20" i="7" s="1"/>
  <c r="E19" i="7"/>
  <c r="C23" i="3"/>
  <c r="D23" i="3" s="1"/>
  <c r="E24" i="3" s="1"/>
  <c r="E25" i="4"/>
  <c r="D25" i="4"/>
  <c r="C26" i="4" s="1"/>
  <c r="F25" i="4"/>
  <c r="C20" i="7" l="1"/>
  <c r="C24" i="3"/>
  <c r="D24" i="3"/>
  <c r="E25" i="3" s="1"/>
  <c r="E26" i="4"/>
  <c r="D26" i="4"/>
  <c r="C27" i="4" s="1"/>
  <c r="F26" i="4"/>
  <c r="D20" i="7" l="1"/>
  <c r="F21" i="7" s="1"/>
  <c r="E20" i="7"/>
  <c r="C21" i="7"/>
  <c r="C25" i="3"/>
  <c r="D25" i="3"/>
  <c r="E26" i="3" s="1"/>
  <c r="C26" i="3"/>
  <c r="E27" i="4"/>
  <c r="D27" i="4"/>
  <c r="C28" i="4" s="1"/>
  <c r="F27" i="4"/>
  <c r="D21" i="7" l="1"/>
  <c r="F22" i="7" s="1"/>
  <c r="E21" i="7"/>
  <c r="D26" i="3"/>
  <c r="E27" i="3" s="1"/>
  <c r="E28" i="4"/>
  <c r="D28" i="4"/>
  <c r="C29" i="4" s="1"/>
  <c r="F28" i="4"/>
  <c r="C22" i="7" l="1"/>
  <c r="C27" i="3"/>
  <c r="E29" i="4"/>
  <c r="D29" i="4"/>
  <c r="C30" i="4" s="1"/>
  <c r="F29" i="4"/>
  <c r="D22" i="7" l="1"/>
  <c r="F23" i="7" s="1"/>
  <c r="E22" i="7"/>
  <c r="D27" i="3"/>
  <c r="E28" i="3" s="1"/>
  <c r="E30" i="4"/>
  <c r="D30" i="4"/>
  <c r="C31" i="4" s="1"/>
  <c r="F30" i="4"/>
  <c r="C23" i="7" l="1"/>
  <c r="C28" i="3"/>
  <c r="D28" i="3"/>
  <c r="C29" i="3" s="1"/>
  <c r="E31" i="4"/>
  <c r="D31" i="4"/>
  <c r="C32" i="4" s="1"/>
  <c r="F31" i="4"/>
  <c r="D23" i="7" l="1"/>
  <c r="F24" i="7" s="1"/>
  <c r="E23" i="7"/>
  <c r="D29" i="3"/>
  <c r="E30" i="3" s="1"/>
  <c r="E29" i="3"/>
  <c r="D32" i="4"/>
  <c r="F35" i="4" s="1"/>
  <c r="F32" i="4"/>
  <c r="J4" i="4" s="1"/>
  <c r="C24" i="7" l="1"/>
  <c r="C30" i="3"/>
  <c r="D30" i="3" s="1"/>
  <c r="E31" i="3" s="1"/>
  <c r="F34" i="4"/>
  <c r="F36" i="4"/>
  <c r="F33" i="4"/>
  <c r="D24" i="7" l="1"/>
  <c r="F25" i="7" s="1"/>
  <c r="E24" i="7"/>
  <c r="C31" i="3"/>
  <c r="D31" i="3" s="1"/>
  <c r="E32" i="3" s="1"/>
  <c r="J3" i="3" s="1"/>
  <c r="C25" i="7" l="1"/>
  <c r="C32" i="3"/>
  <c r="D32" i="3" s="1"/>
  <c r="E34" i="3" s="1"/>
  <c r="D25" i="7" l="1"/>
  <c r="F26" i="7" s="1"/>
  <c r="E25" i="7"/>
  <c r="E33" i="3"/>
  <c r="E35" i="3"/>
  <c r="C26" i="7" l="1"/>
  <c r="D26" i="7" l="1"/>
  <c r="F27" i="7" s="1"/>
  <c r="E26" i="7"/>
  <c r="C27" i="7"/>
  <c r="D27" i="7" l="1"/>
  <c r="F28" i="7" s="1"/>
  <c r="E27" i="7"/>
  <c r="C28" i="7" l="1"/>
  <c r="D28" i="7" l="1"/>
  <c r="F29" i="7" s="1"/>
  <c r="E28" i="7"/>
  <c r="C29" i="7"/>
  <c r="D29" i="7" l="1"/>
  <c r="F30" i="7" s="1"/>
  <c r="E29" i="7"/>
  <c r="C30" i="7" l="1"/>
  <c r="D30" i="7" l="1"/>
  <c r="F31" i="7" s="1"/>
  <c r="E30" i="7"/>
  <c r="C31" i="7"/>
  <c r="D31" i="7" l="1"/>
  <c r="F32" i="7" s="1"/>
  <c r="J4" i="7" s="1"/>
  <c r="E31" i="7"/>
  <c r="C32" i="7"/>
  <c r="D32" i="7" l="1"/>
  <c r="E32" i="7"/>
</calcChain>
</file>

<file path=xl/sharedStrings.xml><?xml version="1.0" encoding="utf-8"?>
<sst xmlns="http://schemas.openxmlformats.org/spreadsheetml/2006/main" count="130" uniqueCount="69">
  <si>
    <t>Date</t>
  </si>
  <si>
    <t>Sales</t>
  </si>
  <si>
    <t>CMA (4)</t>
  </si>
  <si>
    <t>quarter</t>
  </si>
  <si>
    <t>raw seasonals</t>
  </si>
  <si>
    <t xml:space="preserve">quarter </t>
  </si>
  <si>
    <t>seasonal factors</t>
  </si>
  <si>
    <t>normalised</t>
  </si>
  <si>
    <t>seasonal</t>
  </si>
  <si>
    <t>irregular</t>
  </si>
  <si>
    <t>forecast(SES)</t>
  </si>
  <si>
    <t xml:space="preserve">alpha </t>
  </si>
  <si>
    <t>MSE</t>
  </si>
  <si>
    <t>this is a random alpha</t>
  </si>
  <si>
    <t>goal is to minimize MSE</t>
  </si>
  <si>
    <t>if you want to minimize risk or maximize profits, use Solver</t>
  </si>
  <si>
    <t>level</t>
  </si>
  <si>
    <t>trend</t>
  </si>
  <si>
    <t>forecast</t>
  </si>
  <si>
    <t>alpha</t>
  </si>
  <si>
    <t>beta</t>
  </si>
  <si>
    <t xml:space="preserve">level </t>
  </si>
  <si>
    <t>forecaset</t>
  </si>
  <si>
    <t>p=4 ( as p is for seasonality, so we leave tge first 4 observations, and take their average of first 4obserations</t>
  </si>
  <si>
    <t>gamma</t>
  </si>
  <si>
    <t>SalesY</t>
  </si>
  <si>
    <t>Period(X)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</si>
  <si>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</si>
  <si>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</si>
  <si>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</si>
  <si>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</si>
  <si>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</si>
  <si>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</si>
  <si>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</si>
  <si>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</si>
  <si>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</si>
  <si>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</si>
  <si>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</si>
  <si>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</si>
  <si>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</si>
  <si>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</si>
  <si>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</si>
  <si>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</si>
  <si>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</si>
  <si>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</si>
  <si>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</si>
  <si>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</si>
  <si>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</si>
  <si>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</si>
  <si>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</si>
  <si>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</si>
  <si>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</si>
  <si>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correlation between x and y ranges between -1 to 1</t>
  </si>
  <si>
    <t>Power of regression --&gt; goodness of fit----if high we can say how muchof variation in y can be explained wrt x</t>
  </si>
  <si>
    <t>a</t>
  </si>
  <si>
    <t>b</t>
  </si>
  <si>
    <t>y=4303.226x+1679.21</t>
  </si>
  <si>
    <t>if the absolute value of t&gt;1.96, this variable is significant</t>
  </si>
  <si>
    <t>period</t>
  </si>
  <si>
    <t>q1</t>
  </si>
  <si>
    <t>q2</t>
  </si>
  <si>
    <t>q3</t>
  </si>
  <si>
    <t>Level</t>
  </si>
  <si>
    <t>Trend</t>
  </si>
  <si>
    <t>Seasonal</t>
  </si>
  <si>
    <t>Forecast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</si>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</sst>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43" fontId="0" fillId="0" borderId="0" xfId="0" applyNumberFormat="1"/>
    <xf numFmtId="43" fontId="0" fillId="2" borderId="0" xfId="0" applyNumberFormat="1" applyFill="1"/>
    <xf numFmtId="43" fontId="0" fillId="0" borderId="0" xfId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4" fillId="0" borderId="0" xfId="0" applyFont="1" applyAlignment="1">
      <alignment horizontal="center"/>
    </xf>
    <xf numFmtId="0" fontId="5" fillId="0" borderId="0" xfId="0" applyFont="1"/>
    <xf numFmtId="16" fontId="5" fillId="0" borderId="0" xfId="0" applyNumberFormat="1" applyFont="1"/>
    <xf numFmtId="3" fontId="0" fillId="0" borderId="0" xfId="0" applyNumberFormat="1"/>
    <xf numFmtId="3" fontId="5" fillId="0" borderId="0" xfId="0" applyNumberFormat="1" applyFont="1"/>
    <xf numFmtId="43" fontId="5" fillId="0" borderId="0" xfId="1" applyFont="1" applyAlignment="1">
      <alignment wrapText="1"/>
    </xf>
    <xf numFmtId="0" fontId="5" fillId="0" borderId="0" xfId="0" applyFont="1" applyAlignment="1">
      <alignment wrapText="1"/>
    </xf>
    <xf numFmtId="4" fontId="5" fillId="0" borderId="0" xfId="0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Amazon quarterly sales</a:t>
            </a:r>
          </a:p>
        </c:rich>
      </c:tx>
      <c:layout>
        <c:manualLayout>
          <c:xMode val="edge"/>
          <c:yMode val="edge"/>
          <c:x val="0.32174300087489066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5914260717411"/>
          <c:y val="0.15505796150481191"/>
          <c:w val="0.78841863517060362"/>
          <c:h val="0.642322470107903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Sheet1!$A$2:$A$32</c:f>
              <c:numCache>
                <c:formatCode>[$-409]mmm\-yy;@</c:formatCode>
                <c:ptCount val="31"/>
                <c:pt idx="0">
                  <c:v>40816</c:v>
                </c:pt>
                <c:pt idx="1">
                  <c:v>40908</c:v>
                </c:pt>
                <c:pt idx="2">
                  <c:v>40999</c:v>
                </c:pt>
                <c:pt idx="3">
                  <c:v>41090</c:v>
                </c:pt>
                <c:pt idx="4">
                  <c:v>41182</c:v>
                </c:pt>
                <c:pt idx="5">
                  <c:v>41274</c:v>
                </c:pt>
                <c:pt idx="6">
                  <c:v>41364</c:v>
                </c:pt>
                <c:pt idx="7">
                  <c:v>41455</c:v>
                </c:pt>
                <c:pt idx="8">
                  <c:v>41547</c:v>
                </c:pt>
                <c:pt idx="9">
                  <c:v>41639</c:v>
                </c:pt>
                <c:pt idx="10">
                  <c:v>41729</c:v>
                </c:pt>
                <c:pt idx="11">
                  <c:v>41820</c:v>
                </c:pt>
                <c:pt idx="12">
                  <c:v>41912</c:v>
                </c:pt>
                <c:pt idx="13">
                  <c:v>42004</c:v>
                </c:pt>
                <c:pt idx="14">
                  <c:v>42094</c:v>
                </c:pt>
                <c:pt idx="15">
                  <c:v>42185</c:v>
                </c:pt>
                <c:pt idx="16">
                  <c:v>42277</c:v>
                </c:pt>
                <c:pt idx="17">
                  <c:v>42369</c:v>
                </c:pt>
                <c:pt idx="18">
                  <c:v>42460</c:v>
                </c:pt>
                <c:pt idx="19">
                  <c:v>42551</c:v>
                </c:pt>
                <c:pt idx="20">
                  <c:v>42643</c:v>
                </c:pt>
                <c:pt idx="21">
                  <c:v>42735</c:v>
                </c:pt>
                <c:pt idx="22">
                  <c:v>42825</c:v>
                </c:pt>
                <c:pt idx="23">
                  <c:v>42916</c:v>
                </c:pt>
                <c:pt idx="24">
                  <c:v>43008</c:v>
                </c:pt>
                <c:pt idx="25">
                  <c:v>43100</c:v>
                </c:pt>
                <c:pt idx="26">
                  <c:v>43190</c:v>
                </c:pt>
                <c:pt idx="27">
                  <c:v>43281</c:v>
                </c:pt>
                <c:pt idx="28">
                  <c:v>43373</c:v>
                </c:pt>
                <c:pt idx="29">
                  <c:v>43465</c:v>
                </c:pt>
                <c:pt idx="30">
                  <c:v>43554</c:v>
                </c:pt>
              </c:numCache>
            </c:numRef>
          </c:cat>
          <c:val>
            <c:numRef>
              <c:f>Sheet1!$C$2:$C$32</c:f>
              <c:numCache>
                <c:formatCode>_(* #,##0_);_(* \(#,##0\);_(* "-"??_);_(@_)</c:formatCode>
                <c:ptCount val="31"/>
                <c:pt idx="0">
                  <c:v>10876</c:v>
                </c:pt>
                <c:pt idx="1">
                  <c:v>17431</c:v>
                </c:pt>
                <c:pt idx="2">
                  <c:v>13185</c:v>
                </c:pt>
                <c:pt idx="3">
                  <c:v>12834</c:v>
                </c:pt>
                <c:pt idx="4">
                  <c:v>13806</c:v>
                </c:pt>
                <c:pt idx="5">
                  <c:v>21268</c:v>
                </c:pt>
                <c:pt idx="6">
                  <c:v>16070</c:v>
                </c:pt>
                <c:pt idx="7">
                  <c:v>15704</c:v>
                </c:pt>
                <c:pt idx="8">
                  <c:v>17092</c:v>
                </c:pt>
                <c:pt idx="9">
                  <c:v>25587</c:v>
                </c:pt>
                <c:pt idx="10">
                  <c:v>19741</c:v>
                </c:pt>
                <c:pt idx="11">
                  <c:v>19340</c:v>
                </c:pt>
                <c:pt idx="12">
                  <c:v>20579</c:v>
                </c:pt>
                <c:pt idx="13">
                  <c:v>29328</c:v>
                </c:pt>
                <c:pt idx="14">
                  <c:v>22717</c:v>
                </c:pt>
                <c:pt idx="15">
                  <c:v>23185</c:v>
                </c:pt>
                <c:pt idx="16">
                  <c:v>25358</c:v>
                </c:pt>
                <c:pt idx="17">
                  <c:v>35747</c:v>
                </c:pt>
                <c:pt idx="18">
                  <c:v>29128</c:v>
                </c:pt>
                <c:pt idx="19">
                  <c:v>30404</c:v>
                </c:pt>
                <c:pt idx="20">
                  <c:v>32714</c:v>
                </c:pt>
                <c:pt idx="21">
                  <c:v>43741</c:v>
                </c:pt>
                <c:pt idx="22">
                  <c:v>35714</c:v>
                </c:pt>
                <c:pt idx="23">
                  <c:v>37955</c:v>
                </c:pt>
                <c:pt idx="24">
                  <c:v>43744</c:v>
                </c:pt>
                <c:pt idx="25">
                  <c:v>60453</c:v>
                </c:pt>
                <c:pt idx="26">
                  <c:v>51042</c:v>
                </c:pt>
                <c:pt idx="27">
                  <c:v>52886</c:v>
                </c:pt>
                <c:pt idx="28">
                  <c:v>56576</c:v>
                </c:pt>
                <c:pt idx="29">
                  <c:v>72383</c:v>
                </c:pt>
                <c:pt idx="30">
                  <c:v>59700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1-4363-9F25-E844C963D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359407"/>
        <c:axId val="1697795855"/>
      </c:lineChart>
      <c:dateAx>
        <c:axId val="1696359407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95855"/>
        <c:crosses val="autoZero"/>
        <c:auto val="1"/>
        <c:lblOffset val="100"/>
        <c:baseTimeUnit val="months"/>
      </c:dateAx>
      <c:valAx>
        <c:axId val="16977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Sales</a:t>
                </a:r>
                <a:r>
                  <a:rPr lang="en-US" baseline="0"/>
                  <a:t> in Millions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33949475065616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Sheet1!$C$2:$C$32</c:f>
              <c:numCache>
                <c:formatCode>_(* #,##0_);_(* \(#,##0\);_(* "-"??_);_(@_)</c:formatCode>
                <c:ptCount val="31"/>
                <c:pt idx="0">
                  <c:v>10876</c:v>
                </c:pt>
                <c:pt idx="1">
                  <c:v>17431</c:v>
                </c:pt>
                <c:pt idx="2">
                  <c:v>13185</c:v>
                </c:pt>
                <c:pt idx="3">
                  <c:v>12834</c:v>
                </c:pt>
                <c:pt idx="4">
                  <c:v>13806</c:v>
                </c:pt>
                <c:pt idx="5">
                  <c:v>21268</c:v>
                </c:pt>
                <c:pt idx="6">
                  <c:v>16070</c:v>
                </c:pt>
                <c:pt idx="7">
                  <c:v>15704</c:v>
                </c:pt>
                <c:pt idx="8">
                  <c:v>17092</c:v>
                </c:pt>
                <c:pt idx="9">
                  <c:v>25587</c:v>
                </c:pt>
                <c:pt idx="10">
                  <c:v>19741</c:v>
                </c:pt>
                <c:pt idx="11">
                  <c:v>19340</c:v>
                </c:pt>
                <c:pt idx="12">
                  <c:v>20579</c:v>
                </c:pt>
                <c:pt idx="13">
                  <c:v>29328</c:v>
                </c:pt>
                <c:pt idx="14">
                  <c:v>22717</c:v>
                </c:pt>
                <c:pt idx="15">
                  <c:v>23185</c:v>
                </c:pt>
                <c:pt idx="16">
                  <c:v>25358</c:v>
                </c:pt>
                <c:pt idx="17">
                  <c:v>35747</c:v>
                </c:pt>
                <c:pt idx="18">
                  <c:v>29128</c:v>
                </c:pt>
                <c:pt idx="19">
                  <c:v>30404</c:v>
                </c:pt>
                <c:pt idx="20">
                  <c:v>32714</c:v>
                </c:pt>
                <c:pt idx="21">
                  <c:v>43741</c:v>
                </c:pt>
                <c:pt idx="22">
                  <c:v>35714</c:v>
                </c:pt>
                <c:pt idx="23">
                  <c:v>37955</c:v>
                </c:pt>
                <c:pt idx="24">
                  <c:v>43744</c:v>
                </c:pt>
                <c:pt idx="25">
                  <c:v>60453</c:v>
                </c:pt>
                <c:pt idx="26">
                  <c:v>51042</c:v>
                </c:pt>
                <c:pt idx="27">
                  <c:v>52886</c:v>
                </c:pt>
                <c:pt idx="28">
                  <c:v>56576</c:v>
                </c:pt>
                <c:pt idx="29">
                  <c:v>72383</c:v>
                </c:pt>
                <c:pt idx="30">
                  <c:v>59700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4-4073-942E-F4CF10408EB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CMA (4)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Sheet1!$D$2:$D$31</c:f>
              <c:numCache>
                <c:formatCode>General</c:formatCode>
                <c:ptCount val="30"/>
                <c:pt idx="2" formatCode="_(* #,##0_);_(* \(#,##0\);_(* &quot;-&quot;??_);_(@_)">
                  <c:v>13947.75</c:v>
                </c:pt>
                <c:pt idx="3" formatCode="_(* #,##0_);_(* \(#,##0\);_(* &quot;-&quot;??_);_(@_)">
                  <c:v>14793.625</c:v>
                </c:pt>
                <c:pt idx="4" formatCode="_(* #,##0_);_(* \(#,##0\);_(* &quot;-&quot;??_);_(@_)">
                  <c:v>15633.875</c:v>
                </c:pt>
                <c:pt idx="5" formatCode="_(* #,##0_);_(* \(#,##0\);_(* &quot;-&quot;??_);_(@_)">
                  <c:v>16353.25</c:v>
                </c:pt>
                <c:pt idx="6" formatCode="_(* #,##0_);_(* \(#,##0\);_(* &quot;-&quot;??_);_(@_)">
                  <c:v>17122.75</c:v>
                </c:pt>
                <c:pt idx="7" formatCode="_(* #,##0_);_(* \(#,##0\);_(* &quot;-&quot;??_);_(@_)">
                  <c:v>18073.375</c:v>
                </c:pt>
                <c:pt idx="8" formatCode="_(* #,##0_);_(* \(#,##0\);_(* &quot;-&quot;??_);_(@_)">
                  <c:v>19072.125</c:v>
                </c:pt>
                <c:pt idx="9" formatCode="_(* #,##0_);_(* \(#,##0\);_(* &quot;-&quot;??_);_(@_)">
                  <c:v>19985.5</c:v>
                </c:pt>
                <c:pt idx="10" formatCode="_(* #,##0_);_(* \(#,##0\);_(* &quot;-&quot;??_);_(@_)">
                  <c:v>20875.875</c:v>
                </c:pt>
                <c:pt idx="11" formatCode="_(* #,##0_);_(* \(#,##0\);_(* &quot;-&quot;??_);_(@_)">
                  <c:v>21779.375</c:v>
                </c:pt>
                <c:pt idx="12" formatCode="_(* #,##0_);_(* \(#,##0\);_(* &quot;-&quot;??_);_(@_)">
                  <c:v>22619</c:v>
                </c:pt>
                <c:pt idx="13" formatCode="_(* #,##0_);_(* \(#,##0\);_(* &quot;-&quot;??_);_(@_)">
                  <c:v>23471.625</c:v>
                </c:pt>
                <c:pt idx="14" formatCode="_(* #,##0_);_(* \(#,##0\);_(* &quot;-&quot;??_);_(@_)">
                  <c:v>24549.625</c:v>
                </c:pt>
                <c:pt idx="15" formatCode="_(* #,##0_);_(* \(#,##0\);_(* &quot;-&quot;??_);_(@_)">
                  <c:v>25949.375</c:v>
                </c:pt>
                <c:pt idx="16" formatCode="_(* #,##0_);_(* \(#,##0\);_(* &quot;-&quot;??_);_(@_)">
                  <c:v>27553.125</c:v>
                </c:pt>
                <c:pt idx="17" formatCode="_(* #,##0_);_(* \(#,##0\);_(* &quot;-&quot;??_);_(@_)">
                  <c:v>29256.875</c:v>
                </c:pt>
                <c:pt idx="18" formatCode="_(* #,##0_);_(* \(#,##0\);_(* &quot;-&quot;??_);_(@_)">
                  <c:v>31078.75</c:v>
                </c:pt>
                <c:pt idx="19" formatCode="_(* #,##0_);_(* \(#,##0\);_(* &quot;-&quot;??_);_(@_)">
                  <c:v>32997.5</c:v>
                </c:pt>
                <c:pt idx="20" formatCode="_(* #,##0_);_(* \(#,##0\);_(* &quot;-&quot;??_);_(@_)">
                  <c:v>34820</c:v>
                </c:pt>
                <c:pt idx="21" formatCode="_(* #,##0_);_(* \(#,##0\);_(* &quot;-&quot;??_);_(@_)">
                  <c:v>36587.125</c:v>
                </c:pt>
                <c:pt idx="22" formatCode="_(* #,##0_);_(* \(#,##0\);_(* &quot;-&quot;??_);_(@_)">
                  <c:v>38909.75</c:v>
                </c:pt>
                <c:pt idx="23" formatCode="_(* #,##0_);_(* \(#,##0\);_(* &quot;-&quot;??_);_(@_)">
                  <c:v>42377.5</c:v>
                </c:pt>
                <c:pt idx="24" formatCode="_(* #,##0_);_(* \(#,##0\);_(* &quot;-&quot;??_);_(@_)">
                  <c:v>46382.5</c:v>
                </c:pt>
                <c:pt idx="25" formatCode="_(* #,##0_);_(* \(#,##0\);_(* &quot;-&quot;??_);_(@_)">
                  <c:v>50164.875</c:v>
                </c:pt>
                <c:pt idx="26" formatCode="_(* #,##0_);_(* \(#,##0\);_(* &quot;-&quot;??_);_(@_)">
                  <c:v>53635.25</c:v>
                </c:pt>
                <c:pt idx="27" formatCode="_(* #,##0_);_(* \(#,##0\);_(* &quot;-&quot;??_);_(@_)">
                  <c:v>56730.5</c:v>
                </c:pt>
                <c:pt idx="28" formatCode="_(* #,##0_);_(* \(#,##0\);_(* &quot;-&quot;??_);_(@_)">
                  <c:v>59304</c:v>
                </c:pt>
                <c:pt idx="29" formatCode="_(* #,##0_);_(* \(#,##0\);_(* &quot;-&quot;??_);_(@_)">
                  <c:v>61636.291666666672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4-4073-942E-F4CF10408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254463"/>
        <c:axId val="1697798735"/>
      </c:lineChart>
      <c:catAx>
        <c:axId val="1772254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98735"/>
        <c:crosses val="autoZero"/>
        <c:auto val="1"/>
        <c:lblAlgn val="ctr"/>
        <c:lblOffset val="100"/>
        <c:noMultiLvlLbl val="0"/>
      </c:catAx>
      <c:valAx>
        <c:axId val="16977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5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Sheet1!$A$4:$A$32</c:f>
              <c:numCache>
                <c:formatCode>[$-409]mmm\-yy;@</c:formatCode>
                <c:ptCount val="29"/>
                <c:pt idx="0">
                  <c:v>40999</c:v>
                </c:pt>
                <c:pt idx="1">
                  <c:v>41090</c:v>
                </c:pt>
                <c:pt idx="2">
                  <c:v>41182</c:v>
                </c:pt>
                <c:pt idx="3">
                  <c:v>41274</c:v>
                </c:pt>
                <c:pt idx="4">
                  <c:v>41364</c:v>
                </c:pt>
                <c:pt idx="5">
                  <c:v>41455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  <c:pt idx="12">
                  <c:v>42094</c:v>
                </c:pt>
                <c:pt idx="13">
                  <c:v>42185</c:v>
                </c:pt>
                <c:pt idx="14">
                  <c:v>42277</c:v>
                </c:pt>
                <c:pt idx="15">
                  <c:v>42369</c:v>
                </c:pt>
                <c:pt idx="16">
                  <c:v>42460</c:v>
                </c:pt>
                <c:pt idx="17">
                  <c:v>42551</c:v>
                </c:pt>
                <c:pt idx="18">
                  <c:v>42643</c:v>
                </c:pt>
                <c:pt idx="19">
                  <c:v>42735</c:v>
                </c:pt>
                <c:pt idx="20">
                  <c:v>42825</c:v>
                </c:pt>
                <c:pt idx="21">
                  <c:v>42916</c:v>
                </c:pt>
                <c:pt idx="22">
                  <c:v>43008</c:v>
                </c:pt>
                <c:pt idx="23">
                  <c:v>43100</c:v>
                </c:pt>
                <c:pt idx="24">
                  <c:v>43190</c:v>
                </c:pt>
                <c:pt idx="25">
                  <c:v>43281</c:v>
                </c:pt>
                <c:pt idx="26">
                  <c:v>43373</c:v>
                </c:pt>
                <c:pt idx="27">
                  <c:v>43465</c:v>
                </c:pt>
                <c:pt idx="28">
                  <c:v>43554</c:v>
                </c:pt>
              </c:numCache>
            </c:numRef>
          </c:cat>
          <c:val>
            <c:numRef>
              <c:f>Sheet1!$F$4:$F$32</c:f>
              <c:numCache>
                <c:formatCode>General</c:formatCode>
                <c:ptCount val="29"/>
                <c:pt idx="0">
                  <c:v>0.93838296859374026</c:v>
                </c:pt>
                <c:pt idx="1">
                  <c:v>0.89628198905840795</c:v>
                </c:pt>
                <c:pt idx="2">
                  <c:v>0.92185995716276548</c:v>
                </c:pt>
                <c:pt idx="3">
                  <c:v>1.2434750851850864</c:v>
                </c:pt>
                <c:pt idx="4">
                  <c:v>0.93838296859374026</c:v>
                </c:pt>
                <c:pt idx="5">
                  <c:v>0.89628198905840795</c:v>
                </c:pt>
                <c:pt idx="6">
                  <c:v>0.92185995716276548</c:v>
                </c:pt>
                <c:pt idx="7">
                  <c:v>1.2434750851850864</c:v>
                </c:pt>
                <c:pt idx="8">
                  <c:v>0.93838296859374026</c:v>
                </c:pt>
                <c:pt idx="9">
                  <c:v>0.89628198905840795</c:v>
                </c:pt>
                <c:pt idx="10">
                  <c:v>0.92185995716276548</c:v>
                </c:pt>
                <c:pt idx="11">
                  <c:v>1.2434750851850864</c:v>
                </c:pt>
                <c:pt idx="12">
                  <c:v>0.93838296859374026</c:v>
                </c:pt>
                <c:pt idx="13">
                  <c:v>0.89628198905840795</c:v>
                </c:pt>
                <c:pt idx="14">
                  <c:v>0.92185995716276548</c:v>
                </c:pt>
                <c:pt idx="15">
                  <c:v>1.2434750851850864</c:v>
                </c:pt>
                <c:pt idx="16">
                  <c:v>0.93838296859374026</c:v>
                </c:pt>
                <c:pt idx="17">
                  <c:v>0.89628198905840795</c:v>
                </c:pt>
                <c:pt idx="18">
                  <c:v>0.92185995716276548</c:v>
                </c:pt>
                <c:pt idx="19">
                  <c:v>1.2434750851850864</c:v>
                </c:pt>
                <c:pt idx="20">
                  <c:v>0.93838296859374026</c:v>
                </c:pt>
                <c:pt idx="21">
                  <c:v>0.89628198905840795</c:v>
                </c:pt>
                <c:pt idx="22">
                  <c:v>0.92185995716276548</c:v>
                </c:pt>
                <c:pt idx="23">
                  <c:v>1.2434750851850864</c:v>
                </c:pt>
                <c:pt idx="24">
                  <c:v>0.93838296859374026</c:v>
                </c:pt>
                <c:pt idx="25">
                  <c:v>0.89628198905840795</c:v>
                </c:pt>
                <c:pt idx="26">
                  <c:v>0.92185995716276548</c:v>
                </c:pt>
                <c:pt idx="27">
                  <c:v>1.2434750851850864</c:v>
                </c:pt>
                <c:pt idx="28">
                  <c:v>0.93838296859374026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1-49A8-A95A-907C111F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45951"/>
        <c:axId val="2091325679"/>
      </c:lineChart>
      <c:dateAx>
        <c:axId val="13704595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25679"/>
        <c:crosses val="autoZero"/>
        <c:auto val="1"/>
        <c:lblOffset val="100"/>
        <c:baseTimeUnit val="months"/>
      </c:dateAx>
      <c:valAx>
        <c:axId val="209132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SES!$A$2:$A$33</c:f>
              <c:numCache>
                <c:formatCode>[$-409]mmm\-yy;@</c:formatCode>
                <c:ptCount val="32"/>
                <c:pt idx="0">
                  <c:v>40816</c:v>
                </c:pt>
                <c:pt idx="1">
                  <c:v>40908</c:v>
                </c:pt>
                <c:pt idx="2">
                  <c:v>40999</c:v>
                </c:pt>
                <c:pt idx="3">
                  <c:v>41090</c:v>
                </c:pt>
                <c:pt idx="4">
                  <c:v>41182</c:v>
                </c:pt>
                <c:pt idx="5">
                  <c:v>41274</c:v>
                </c:pt>
                <c:pt idx="6">
                  <c:v>41364</c:v>
                </c:pt>
                <c:pt idx="7">
                  <c:v>41455</c:v>
                </c:pt>
                <c:pt idx="8">
                  <c:v>41547</c:v>
                </c:pt>
                <c:pt idx="9">
                  <c:v>41639</c:v>
                </c:pt>
                <c:pt idx="10">
                  <c:v>41729</c:v>
                </c:pt>
                <c:pt idx="11">
                  <c:v>41820</c:v>
                </c:pt>
                <c:pt idx="12">
                  <c:v>41912</c:v>
                </c:pt>
                <c:pt idx="13">
                  <c:v>42004</c:v>
                </c:pt>
                <c:pt idx="14">
                  <c:v>42094</c:v>
                </c:pt>
                <c:pt idx="15">
                  <c:v>42185</c:v>
                </c:pt>
                <c:pt idx="16">
                  <c:v>42277</c:v>
                </c:pt>
                <c:pt idx="17">
                  <c:v>42369</c:v>
                </c:pt>
                <c:pt idx="18">
                  <c:v>42460</c:v>
                </c:pt>
                <c:pt idx="19">
                  <c:v>42551</c:v>
                </c:pt>
                <c:pt idx="20">
                  <c:v>42643</c:v>
                </c:pt>
                <c:pt idx="21">
                  <c:v>42735</c:v>
                </c:pt>
                <c:pt idx="22">
                  <c:v>42825</c:v>
                </c:pt>
                <c:pt idx="23">
                  <c:v>42916</c:v>
                </c:pt>
                <c:pt idx="24">
                  <c:v>43008</c:v>
                </c:pt>
                <c:pt idx="25">
                  <c:v>43100</c:v>
                </c:pt>
                <c:pt idx="26">
                  <c:v>43190</c:v>
                </c:pt>
                <c:pt idx="27">
                  <c:v>43281</c:v>
                </c:pt>
                <c:pt idx="28">
                  <c:v>43373</c:v>
                </c:pt>
                <c:pt idx="29">
                  <c:v>43465</c:v>
                </c:pt>
                <c:pt idx="30">
                  <c:v>43466</c:v>
                </c:pt>
                <c:pt idx="31">
                  <c:v>43281</c:v>
                </c:pt>
              </c:numCache>
            </c:numRef>
          </c:cat>
          <c:val>
            <c:numRef>
              <c:f>SES!$B$2:$B$33</c:f>
              <c:numCache>
                <c:formatCode>_(* #,##0_);_(* \(#,##0\);_(* "-"??_);_(@_)</c:formatCode>
                <c:ptCount val="32"/>
                <c:pt idx="0">
                  <c:v>10876</c:v>
                </c:pt>
                <c:pt idx="1">
                  <c:v>17431</c:v>
                </c:pt>
                <c:pt idx="2">
                  <c:v>13185</c:v>
                </c:pt>
                <c:pt idx="3">
                  <c:v>12834</c:v>
                </c:pt>
                <c:pt idx="4">
                  <c:v>13806</c:v>
                </c:pt>
                <c:pt idx="5">
                  <c:v>21268</c:v>
                </c:pt>
                <c:pt idx="6">
                  <c:v>16070</c:v>
                </c:pt>
                <c:pt idx="7">
                  <c:v>15704</c:v>
                </c:pt>
                <c:pt idx="8">
                  <c:v>17092</c:v>
                </c:pt>
                <c:pt idx="9">
                  <c:v>25587</c:v>
                </c:pt>
                <c:pt idx="10">
                  <c:v>19741</c:v>
                </c:pt>
                <c:pt idx="11">
                  <c:v>19340</c:v>
                </c:pt>
                <c:pt idx="12">
                  <c:v>20579</c:v>
                </c:pt>
                <c:pt idx="13">
                  <c:v>29328</c:v>
                </c:pt>
                <c:pt idx="14">
                  <c:v>22717</c:v>
                </c:pt>
                <c:pt idx="15">
                  <c:v>23185</c:v>
                </c:pt>
                <c:pt idx="16">
                  <c:v>25358</c:v>
                </c:pt>
                <c:pt idx="17">
                  <c:v>35747</c:v>
                </c:pt>
                <c:pt idx="18">
                  <c:v>29128</c:v>
                </c:pt>
                <c:pt idx="19">
                  <c:v>30404</c:v>
                </c:pt>
                <c:pt idx="20">
                  <c:v>32714</c:v>
                </c:pt>
                <c:pt idx="21">
                  <c:v>43741</c:v>
                </c:pt>
                <c:pt idx="22">
                  <c:v>35714</c:v>
                </c:pt>
                <c:pt idx="23">
                  <c:v>37955</c:v>
                </c:pt>
                <c:pt idx="24">
                  <c:v>43744</c:v>
                </c:pt>
                <c:pt idx="25">
                  <c:v>60453</c:v>
                </c:pt>
                <c:pt idx="26">
                  <c:v>51042</c:v>
                </c:pt>
                <c:pt idx="27">
                  <c:v>52886</c:v>
                </c:pt>
                <c:pt idx="28">
                  <c:v>56576</c:v>
                </c:pt>
                <c:pt idx="29">
                  <c:v>72383</c:v>
                </c:pt>
                <c:pt idx="30">
                  <c:v>59700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1-4719-83A8-4E2089A25C57}"/>
            </c:ext>
          </c:extLst>
        </c:ser>
        <c:ser>
          <c:idx val="1"/>
          <c:order val="1"/>
          <c:tx>
            <c:strRef>
              <c:f>SES!$C$1</c:f>
              <c:strCache>
                <c:ptCount val="1"/>
                <c:pt idx="0">
                  <c:v>forecast(SES)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SES!$A$2:$A$33</c:f>
              <c:numCache>
                <c:formatCode>[$-409]mmm\-yy;@</c:formatCode>
                <c:ptCount val="32"/>
                <c:pt idx="0">
                  <c:v>40816</c:v>
                </c:pt>
                <c:pt idx="1">
                  <c:v>40908</c:v>
                </c:pt>
                <c:pt idx="2">
                  <c:v>40999</c:v>
                </c:pt>
                <c:pt idx="3">
                  <c:v>41090</c:v>
                </c:pt>
                <c:pt idx="4">
                  <c:v>41182</c:v>
                </c:pt>
                <c:pt idx="5">
                  <c:v>41274</c:v>
                </c:pt>
                <c:pt idx="6">
                  <c:v>41364</c:v>
                </c:pt>
                <c:pt idx="7">
                  <c:v>41455</c:v>
                </c:pt>
                <c:pt idx="8">
                  <c:v>41547</c:v>
                </c:pt>
                <c:pt idx="9">
                  <c:v>41639</c:v>
                </c:pt>
                <c:pt idx="10">
                  <c:v>41729</c:v>
                </c:pt>
                <c:pt idx="11">
                  <c:v>41820</c:v>
                </c:pt>
                <c:pt idx="12">
                  <c:v>41912</c:v>
                </c:pt>
                <c:pt idx="13">
                  <c:v>42004</c:v>
                </c:pt>
                <c:pt idx="14">
                  <c:v>42094</c:v>
                </c:pt>
                <c:pt idx="15">
                  <c:v>42185</c:v>
                </c:pt>
                <c:pt idx="16">
                  <c:v>42277</c:v>
                </c:pt>
                <c:pt idx="17">
                  <c:v>42369</c:v>
                </c:pt>
                <c:pt idx="18">
                  <c:v>42460</c:v>
                </c:pt>
                <c:pt idx="19">
                  <c:v>42551</c:v>
                </c:pt>
                <c:pt idx="20">
                  <c:v>42643</c:v>
                </c:pt>
                <c:pt idx="21">
                  <c:v>42735</c:v>
                </c:pt>
                <c:pt idx="22">
                  <c:v>42825</c:v>
                </c:pt>
                <c:pt idx="23">
                  <c:v>42916</c:v>
                </c:pt>
                <c:pt idx="24">
                  <c:v>43008</c:v>
                </c:pt>
                <c:pt idx="25">
                  <c:v>43100</c:v>
                </c:pt>
                <c:pt idx="26">
                  <c:v>43190</c:v>
                </c:pt>
                <c:pt idx="27">
                  <c:v>43281</c:v>
                </c:pt>
                <c:pt idx="28">
                  <c:v>43373</c:v>
                </c:pt>
                <c:pt idx="29">
                  <c:v>43465</c:v>
                </c:pt>
                <c:pt idx="30">
                  <c:v>43466</c:v>
                </c:pt>
                <c:pt idx="31">
                  <c:v>43281</c:v>
                </c:pt>
              </c:numCache>
            </c:numRef>
          </c:cat>
          <c:val>
            <c:numRef>
              <c:f>SES!$C$2:$C$33</c:f>
              <c:numCache>
                <c:formatCode>_(* #,##0_);_(* \(#,##0\);_(* "-"??_);_(@_)</c:formatCode>
                <c:ptCount val="32"/>
                <c:pt idx="0">
                  <c:v>10876</c:v>
                </c:pt>
                <c:pt idx="1">
                  <c:v>10876</c:v>
                </c:pt>
                <c:pt idx="2">
                  <c:v>14915.096369940919</c:v>
                </c:pt>
                <c:pt idx="3">
                  <c:v>13849.035963003265</c:v>
                </c:pt>
                <c:pt idx="4">
                  <c:v>13223.58545598176</c:v>
                </c:pt>
                <c:pt idx="5">
                  <c:v>13582.460890084714</c:v>
                </c:pt>
                <c:pt idx="6">
                  <c:v>18318.17913873426</c:v>
                </c:pt>
                <c:pt idx="7">
                  <c:v>16932.883608873322</c:v>
                </c:pt>
                <c:pt idx="8">
                  <c:v>16175.66326963913</c:v>
                </c:pt>
                <c:pt idx="9">
                  <c:v>16740.296734359821</c:v>
                </c:pt>
                <c:pt idx="10">
                  <c:v>22191.507572833005</c:v>
                </c:pt>
                <c:pt idx="11">
                  <c:v>20681.540182757868</c:v>
                </c:pt>
                <c:pt idx="12">
                  <c:v>19854.902489042051</c:v>
                </c:pt>
                <c:pt idx="13">
                  <c:v>20301.080921993005</c:v>
                </c:pt>
                <c:pt idx="14">
                  <c:v>25863.338142393994</c:v>
                </c:pt>
                <c:pt idx="15">
                  <c:v>23924.610000586177</c:v>
                </c:pt>
                <c:pt idx="16">
                  <c:v>23468.87299546953</c:v>
                </c:pt>
                <c:pt idx="17">
                  <c:v>24632.925783624585</c:v>
                </c:pt>
                <c:pt idx="18">
                  <c:v>31481.257869454621</c:v>
                </c:pt>
                <c:pt idx="19">
                  <c:v>30031.21434267368</c:v>
                </c:pt>
                <c:pt idx="20">
                  <c:v>30260.919483066173</c:v>
                </c:pt>
                <c:pt idx="21">
                  <c:v>31772.472284152398</c:v>
                </c:pt>
                <c:pt idx="22">
                  <c:v>39147.306281195466</c:v>
                </c:pt>
                <c:pt idx="23">
                  <c:v>37031.752515021253</c:v>
                </c:pt>
                <c:pt idx="24">
                  <c:v>37600.644286971634</c:v>
                </c:pt>
                <c:pt idx="25">
                  <c:v>41386.091389908121</c:v>
                </c:pt>
                <c:pt idx="26">
                  <c:v>53134.845219506497</c:v>
                </c:pt>
                <c:pt idx="27">
                  <c:v>51845.264208223984</c:v>
                </c:pt>
                <c:pt idx="28">
                  <c:v>52486.550578724382</c:v>
                </c:pt>
                <c:pt idx="29">
                  <c:v>55006.410275525501</c:v>
                </c:pt>
                <c:pt idx="30">
                  <c:v>65713.614009786004</c:v>
                </c:pt>
                <c:pt idx="31">
                  <c:v>62008.111871395085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1-4719-83A8-4E2089A25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875311"/>
        <c:axId val="1879332031"/>
      </c:lineChart>
      <c:dateAx>
        <c:axId val="209187531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32031"/>
        <c:crosses val="autoZero"/>
        <c:auto val="1"/>
        <c:lblOffset val="100"/>
        <c:baseTimeUnit val="days"/>
      </c:dateAx>
      <c:valAx>
        <c:axId val="18793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7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HLES!$A$2:$A$32</c:f>
              <c:numCache>
                <c:formatCode>[$-409]mmm\-yy;@</c:formatCode>
                <c:ptCount val="31"/>
                <c:pt idx="0">
                  <c:v>40816</c:v>
                </c:pt>
                <c:pt idx="1">
                  <c:v>40908</c:v>
                </c:pt>
                <c:pt idx="2">
                  <c:v>40999</c:v>
                </c:pt>
                <c:pt idx="3">
                  <c:v>41090</c:v>
                </c:pt>
                <c:pt idx="4">
                  <c:v>41182</c:v>
                </c:pt>
                <c:pt idx="5">
                  <c:v>41274</c:v>
                </c:pt>
                <c:pt idx="6">
                  <c:v>41364</c:v>
                </c:pt>
                <c:pt idx="7">
                  <c:v>41455</c:v>
                </c:pt>
                <c:pt idx="8">
                  <c:v>41547</c:v>
                </c:pt>
                <c:pt idx="9">
                  <c:v>41639</c:v>
                </c:pt>
                <c:pt idx="10">
                  <c:v>41729</c:v>
                </c:pt>
                <c:pt idx="11">
                  <c:v>41820</c:v>
                </c:pt>
                <c:pt idx="12">
                  <c:v>41912</c:v>
                </c:pt>
                <c:pt idx="13">
                  <c:v>42004</c:v>
                </c:pt>
                <c:pt idx="14">
                  <c:v>42094</c:v>
                </c:pt>
                <c:pt idx="15">
                  <c:v>42185</c:v>
                </c:pt>
                <c:pt idx="16">
                  <c:v>42277</c:v>
                </c:pt>
                <c:pt idx="17">
                  <c:v>42369</c:v>
                </c:pt>
                <c:pt idx="18">
                  <c:v>42460</c:v>
                </c:pt>
                <c:pt idx="19">
                  <c:v>42551</c:v>
                </c:pt>
                <c:pt idx="20">
                  <c:v>42643</c:v>
                </c:pt>
                <c:pt idx="21">
                  <c:v>42735</c:v>
                </c:pt>
                <c:pt idx="22">
                  <c:v>42825</c:v>
                </c:pt>
                <c:pt idx="23">
                  <c:v>42916</c:v>
                </c:pt>
                <c:pt idx="24">
                  <c:v>43008</c:v>
                </c:pt>
                <c:pt idx="25">
                  <c:v>43100</c:v>
                </c:pt>
                <c:pt idx="26">
                  <c:v>43190</c:v>
                </c:pt>
                <c:pt idx="27">
                  <c:v>43281</c:v>
                </c:pt>
                <c:pt idx="28">
                  <c:v>43373</c:v>
                </c:pt>
                <c:pt idx="29">
                  <c:v>43465</c:v>
                </c:pt>
                <c:pt idx="30">
                  <c:v>43466</c:v>
                </c:pt>
              </c:numCache>
            </c:numRef>
          </c:cat>
          <c:val>
            <c:numRef>
              <c:f>HLES!$B$2:$B$32</c:f>
              <c:numCache>
                <c:formatCode>_(* #,##0_);_(* \(#,##0\);_(* "-"??_);_(@_)</c:formatCode>
                <c:ptCount val="31"/>
                <c:pt idx="0">
                  <c:v>10876</c:v>
                </c:pt>
                <c:pt idx="1">
                  <c:v>17431</c:v>
                </c:pt>
                <c:pt idx="2">
                  <c:v>13185</c:v>
                </c:pt>
                <c:pt idx="3">
                  <c:v>12834</c:v>
                </c:pt>
                <c:pt idx="4">
                  <c:v>13806</c:v>
                </c:pt>
                <c:pt idx="5">
                  <c:v>21268</c:v>
                </c:pt>
                <c:pt idx="6">
                  <c:v>16070</c:v>
                </c:pt>
                <c:pt idx="7">
                  <c:v>15704</c:v>
                </c:pt>
                <c:pt idx="8">
                  <c:v>17092</c:v>
                </c:pt>
                <c:pt idx="9">
                  <c:v>25587</c:v>
                </c:pt>
                <c:pt idx="10">
                  <c:v>19741</c:v>
                </c:pt>
                <c:pt idx="11">
                  <c:v>19340</c:v>
                </c:pt>
                <c:pt idx="12">
                  <c:v>20579</c:v>
                </c:pt>
                <c:pt idx="13">
                  <c:v>29328</c:v>
                </c:pt>
                <c:pt idx="14">
                  <c:v>22717</c:v>
                </c:pt>
                <c:pt idx="15">
                  <c:v>23185</c:v>
                </c:pt>
                <c:pt idx="16">
                  <c:v>25358</c:v>
                </c:pt>
                <c:pt idx="17">
                  <c:v>35747</c:v>
                </c:pt>
                <c:pt idx="18">
                  <c:v>29128</c:v>
                </c:pt>
                <c:pt idx="19">
                  <c:v>30404</c:v>
                </c:pt>
                <c:pt idx="20">
                  <c:v>32714</c:v>
                </c:pt>
                <c:pt idx="21">
                  <c:v>43741</c:v>
                </c:pt>
                <c:pt idx="22">
                  <c:v>35714</c:v>
                </c:pt>
                <c:pt idx="23">
                  <c:v>37955</c:v>
                </c:pt>
                <c:pt idx="24">
                  <c:v>43744</c:v>
                </c:pt>
                <c:pt idx="25">
                  <c:v>60453</c:v>
                </c:pt>
                <c:pt idx="26">
                  <c:v>51042</c:v>
                </c:pt>
                <c:pt idx="27">
                  <c:v>52886</c:v>
                </c:pt>
                <c:pt idx="28">
                  <c:v>56576</c:v>
                </c:pt>
                <c:pt idx="29">
                  <c:v>72383</c:v>
                </c:pt>
                <c:pt idx="30">
                  <c:v>59700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3-4941-85FC-9D0C0F79CC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HLES!$A$2:$A$32</c:f>
              <c:numCache>
                <c:formatCode>[$-409]mmm\-yy;@</c:formatCode>
                <c:ptCount val="31"/>
                <c:pt idx="0">
                  <c:v>40816</c:v>
                </c:pt>
                <c:pt idx="1">
                  <c:v>40908</c:v>
                </c:pt>
                <c:pt idx="2">
                  <c:v>40999</c:v>
                </c:pt>
                <c:pt idx="3">
                  <c:v>41090</c:v>
                </c:pt>
                <c:pt idx="4">
                  <c:v>41182</c:v>
                </c:pt>
                <c:pt idx="5">
                  <c:v>41274</c:v>
                </c:pt>
                <c:pt idx="6">
                  <c:v>41364</c:v>
                </c:pt>
                <c:pt idx="7">
                  <c:v>41455</c:v>
                </c:pt>
                <c:pt idx="8">
                  <c:v>41547</c:v>
                </c:pt>
                <c:pt idx="9">
                  <c:v>41639</c:v>
                </c:pt>
                <c:pt idx="10">
                  <c:v>41729</c:v>
                </c:pt>
                <c:pt idx="11">
                  <c:v>41820</c:v>
                </c:pt>
                <c:pt idx="12">
                  <c:v>41912</c:v>
                </c:pt>
                <c:pt idx="13">
                  <c:v>42004</c:v>
                </c:pt>
                <c:pt idx="14">
                  <c:v>42094</c:v>
                </c:pt>
                <c:pt idx="15">
                  <c:v>42185</c:v>
                </c:pt>
                <c:pt idx="16">
                  <c:v>42277</c:v>
                </c:pt>
                <c:pt idx="17">
                  <c:v>42369</c:v>
                </c:pt>
                <c:pt idx="18">
                  <c:v>42460</c:v>
                </c:pt>
                <c:pt idx="19">
                  <c:v>42551</c:v>
                </c:pt>
                <c:pt idx="20">
                  <c:v>42643</c:v>
                </c:pt>
                <c:pt idx="21">
                  <c:v>42735</c:v>
                </c:pt>
                <c:pt idx="22">
                  <c:v>42825</c:v>
                </c:pt>
                <c:pt idx="23">
                  <c:v>42916</c:v>
                </c:pt>
                <c:pt idx="24">
                  <c:v>43008</c:v>
                </c:pt>
                <c:pt idx="25">
                  <c:v>43100</c:v>
                </c:pt>
                <c:pt idx="26">
                  <c:v>43190</c:v>
                </c:pt>
                <c:pt idx="27">
                  <c:v>43281</c:v>
                </c:pt>
                <c:pt idx="28">
                  <c:v>43373</c:v>
                </c:pt>
                <c:pt idx="29">
                  <c:v>43465</c:v>
                </c:pt>
                <c:pt idx="30">
                  <c:v>43466</c:v>
                </c:pt>
              </c:numCache>
            </c:numRef>
          </c:cat>
          <c:val>
            <c:numRef>
              <c:f>HLES!$E$2:$E$32</c:f>
              <c:numCache>
                <c:formatCode>_(* #,##0.00_);_(* \(#,##0.00\);_(* "-"??_);_(@_)</c:formatCode>
                <c:ptCount val="31"/>
                <c:pt idx="1">
                  <c:v>10876</c:v>
                </c:pt>
                <c:pt idx="2">
                  <c:v>12550.400654072233</c:v>
                </c:pt>
                <c:pt idx="3">
                  <c:v>13549.702210688098</c:v>
                </c:pt>
                <c:pt idx="4">
                  <c:v>14285.135112895921</c:v>
                </c:pt>
                <c:pt idx="5">
                  <c:v>14989.587386335877</c:v>
                </c:pt>
                <c:pt idx="6">
                  <c:v>17358.984016765233</c:v>
                </c:pt>
                <c:pt idx="7">
                  <c:v>18597.249484084343</c:v>
                </c:pt>
                <c:pt idx="8">
                  <c:v>19261.095273575109</c:v>
                </c:pt>
                <c:pt idx="9">
                  <c:v>19740.394132395137</c:v>
                </c:pt>
                <c:pt idx="10">
                  <c:v>21990.177806048076</c:v>
                </c:pt>
                <c:pt idx="11">
                  <c:v>22918.709743014253</c:v>
                </c:pt>
                <c:pt idx="12">
                  <c:v>23220.364252115916</c:v>
                </c:pt>
                <c:pt idx="13">
                  <c:v>23304.382595822153</c:v>
                </c:pt>
                <c:pt idx="14">
                  <c:v>25264.419236573267</c:v>
                </c:pt>
                <c:pt idx="15">
                  <c:v>25804.41394038577</c:v>
                </c:pt>
                <c:pt idx="16">
                  <c:v>26000.663686591768</c:v>
                </c:pt>
                <c:pt idx="17">
                  <c:v>26367.302099518776</c:v>
                </c:pt>
                <c:pt idx="18">
                  <c:v>29211.958902705825</c:v>
                </c:pt>
                <c:pt idx="19">
                  <c:v>30837.200451676443</c:v>
                </c:pt>
                <c:pt idx="20">
                  <c:v>32362.509018369641</c:v>
                </c:pt>
                <c:pt idx="21">
                  <c:v>34032.930062462998</c:v>
                </c:pt>
                <c:pt idx="22">
                  <c:v>38138.27563568217</c:v>
                </c:pt>
                <c:pt idx="23">
                  <c:v>40384.459037027504</c:v>
                </c:pt>
                <c:pt idx="24">
                  <c:v>42319.691493197883</c:v>
                </c:pt>
                <c:pt idx="25">
                  <c:v>44929.036381970909</c:v>
                </c:pt>
                <c:pt idx="26">
                  <c:v>51321.890544294874</c:v>
                </c:pt>
                <c:pt idx="27">
                  <c:v>55660.539317092262</c:v>
                </c:pt>
                <c:pt idx="28">
                  <c:v>59326.210821839239</c:v>
                </c:pt>
                <c:pt idx="29">
                  <c:v>62643.734412737249</c:v>
                </c:pt>
                <c:pt idx="30">
                  <c:v>68800.29844131002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3-4941-85FC-9D0C0F79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79023"/>
        <c:axId val="1144537119"/>
      </c:lineChart>
      <c:dateAx>
        <c:axId val="104879023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537119"/>
        <c:crosses val="autoZero"/>
        <c:auto val="1"/>
        <c:lblOffset val="100"/>
        <c:baseTimeUnit val="days"/>
      </c:dateAx>
      <c:valAx>
        <c:axId val="114453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7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HWas!$A$6:$A$32</c:f>
              <c:numCache>
                <c:formatCode>[$-409]mmm\-yy;@</c:formatCode>
                <c:ptCount val="27"/>
                <c:pt idx="0">
                  <c:v>41182</c:v>
                </c:pt>
                <c:pt idx="1">
                  <c:v>41274</c:v>
                </c:pt>
                <c:pt idx="2">
                  <c:v>41364</c:v>
                </c:pt>
                <c:pt idx="3">
                  <c:v>41455</c:v>
                </c:pt>
                <c:pt idx="4">
                  <c:v>41547</c:v>
                </c:pt>
                <c:pt idx="5">
                  <c:v>41639</c:v>
                </c:pt>
                <c:pt idx="6">
                  <c:v>41729</c:v>
                </c:pt>
                <c:pt idx="7">
                  <c:v>41820</c:v>
                </c:pt>
                <c:pt idx="8">
                  <c:v>41912</c:v>
                </c:pt>
                <c:pt idx="9">
                  <c:v>42004</c:v>
                </c:pt>
                <c:pt idx="10">
                  <c:v>42094</c:v>
                </c:pt>
                <c:pt idx="11">
                  <c:v>42185</c:v>
                </c:pt>
                <c:pt idx="12">
                  <c:v>42277</c:v>
                </c:pt>
                <c:pt idx="13">
                  <c:v>42369</c:v>
                </c:pt>
                <c:pt idx="14">
                  <c:v>42460</c:v>
                </c:pt>
                <c:pt idx="15">
                  <c:v>42551</c:v>
                </c:pt>
                <c:pt idx="16">
                  <c:v>42643</c:v>
                </c:pt>
                <c:pt idx="17">
                  <c:v>42735</c:v>
                </c:pt>
                <c:pt idx="18">
                  <c:v>42825</c:v>
                </c:pt>
                <c:pt idx="19">
                  <c:v>42916</c:v>
                </c:pt>
                <c:pt idx="20">
                  <c:v>43008</c:v>
                </c:pt>
                <c:pt idx="21">
                  <c:v>43100</c:v>
                </c:pt>
                <c:pt idx="22">
                  <c:v>43190</c:v>
                </c:pt>
                <c:pt idx="23">
                  <c:v>43281</c:v>
                </c:pt>
                <c:pt idx="24">
                  <c:v>43373</c:v>
                </c:pt>
                <c:pt idx="25">
                  <c:v>43465</c:v>
                </c:pt>
                <c:pt idx="26">
                  <c:v>43466</c:v>
                </c:pt>
              </c:numCache>
            </c:numRef>
          </c:cat>
          <c:val>
            <c:numRef>
              <c:f>HWas!$B$6:$B$32</c:f>
              <c:numCache>
                <c:formatCode>_(* #,##0_);_(* \(#,##0\);_(* "-"??_);_(@_)</c:formatCode>
                <c:ptCount val="27"/>
                <c:pt idx="0">
                  <c:v>13806</c:v>
                </c:pt>
                <c:pt idx="1">
                  <c:v>21268</c:v>
                </c:pt>
                <c:pt idx="2">
                  <c:v>16070</c:v>
                </c:pt>
                <c:pt idx="3">
                  <c:v>15704</c:v>
                </c:pt>
                <c:pt idx="4">
                  <c:v>17092</c:v>
                </c:pt>
                <c:pt idx="5">
                  <c:v>25587</c:v>
                </c:pt>
                <c:pt idx="6">
                  <c:v>19741</c:v>
                </c:pt>
                <c:pt idx="7">
                  <c:v>19340</c:v>
                </c:pt>
                <c:pt idx="8">
                  <c:v>20579</c:v>
                </c:pt>
                <c:pt idx="9">
                  <c:v>29328</c:v>
                </c:pt>
                <c:pt idx="10">
                  <c:v>22717</c:v>
                </c:pt>
                <c:pt idx="11">
                  <c:v>23185</c:v>
                </c:pt>
                <c:pt idx="12">
                  <c:v>25358</c:v>
                </c:pt>
                <c:pt idx="13">
                  <c:v>35747</c:v>
                </c:pt>
                <c:pt idx="14">
                  <c:v>29128</c:v>
                </c:pt>
                <c:pt idx="15">
                  <c:v>30404</c:v>
                </c:pt>
                <c:pt idx="16">
                  <c:v>32714</c:v>
                </c:pt>
                <c:pt idx="17">
                  <c:v>43741</c:v>
                </c:pt>
                <c:pt idx="18">
                  <c:v>35714</c:v>
                </c:pt>
                <c:pt idx="19">
                  <c:v>37955</c:v>
                </c:pt>
                <c:pt idx="20">
                  <c:v>43744</c:v>
                </c:pt>
                <c:pt idx="21">
                  <c:v>60453</c:v>
                </c:pt>
                <c:pt idx="22">
                  <c:v>51042</c:v>
                </c:pt>
                <c:pt idx="23">
                  <c:v>52886</c:v>
                </c:pt>
                <c:pt idx="24">
                  <c:v>56576</c:v>
                </c:pt>
                <c:pt idx="25">
                  <c:v>72383</c:v>
                </c:pt>
                <c:pt idx="26">
                  <c:v>59700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0-4371-9C0A-88DA7E6A6B9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HWas!$A$6:$A$32</c:f>
              <c:numCache>
                <c:formatCode>[$-409]mmm\-yy;@</c:formatCode>
                <c:ptCount val="27"/>
                <c:pt idx="0">
                  <c:v>41182</c:v>
                </c:pt>
                <c:pt idx="1">
                  <c:v>41274</c:v>
                </c:pt>
                <c:pt idx="2">
                  <c:v>41364</c:v>
                </c:pt>
                <c:pt idx="3">
                  <c:v>41455</c:v>
                </c:pt>
                <c:pt idx="4">
                  <c:v>41547</c:v>
                </c:pt>
                <c:pt idx="5">
                  <c:v>41639</c:v>
                </c:pt>
                <c:pt idx="6">
                  <c:v>41729</c:v>
                </c:pt>
                <c:pt idx="7">
                  <c:v>41820</c:v>
                </c:pt>
                <c:pt idx="8">
                  <c:v>41912</c:v>
                </c:pt>
                <c:pt idx="9">
                  <c:v>42004</c:v>
                </c:pt>
                <c:pt idx="10">
                  <c:v>42094</c:v>
                </c:pt>
                <c:pt idx="11">
                  <c:v>42185</c:v>
                </c:pt>
                <c:pt idx="12">
                  <c:v>42277</c:v>
                </c:pt>
                <c:pt idx="13">
                  <c:v>42369</c:v>
                </c:pt>
                <c:pt idx="14">
                  <c:v>42460</c:v>
                </c:pt>
                <c:pt idx="15">
                  <c:v>42551</c:v>
                </c:pt>
                <c:pt idx="16">
                  <c:v>42643</c:v>
                </c:pt>
                <c:pt idx="17">
                  <c:v>42735</c:v>
                </c:pt>
                <c:pt idx="18">
                  <c:v>42825</c:v>
                </c:pt>
                <c:pt idx="19">
                  <c:v>42916</c:v>
                </c:pt>
                <c:pt idx="20">
                  <c:v>43008</c:v>
                </c:pt>
                <c:pt idx="21">
                  <c:v>43100</c:v>
                </c:pt>
                <c:pt idx="22">
                  <c:v>43190</c:v>
                </c:pt>
                <c:pt idx="23">
                  <c:v>43281</c:v>
                </c:pt>
                <c:pt idx="24">
                  <c:v>43373</c:v>
                </c:pt>
                <c:pt idx="25">
                  <c:v>43465</c:v>
                </c:pt>
                <c:pt idx="26">
                  <c:v>43466</c:v>
                </c:pt>
              </c:numCache>
            </c:numRef>
          </c:cat>
          <c:val>
            <c:numRef>
              <c:f>HWas!$F$6:$F$32</c:f>
              <c:numCache>
                <c:formatCode>_(* #,##0_);_(* \(#,##0\);_(* "-"??_);_(@_)</c:formatCode>
                <c:ptCount val="27"/>
                <c:pt idx="0">
                  <c:v>10876</c:v>
                </c:pt>
                <c:pt idx="1">
                  <c:v>19438.809882219903</c:v>
                </c:pt>
                <c:pt idx="2">
                  <c:v>16963.616767999098</c:v>
                </c:pt>
                <c:pt idx="3">
                  <c:v>16840.566874349457</c:v>
                </c:pt>
                <c:pt idx="4">
                  <c:v>16225.778532988592</c:v>
                </c:pt>
                <c:pt idx="5">
                  <c:v>23315.378804581913</c:v>
                </c:pt>
                <c:pt idx="6">
                  <c:v>19923.090000387867</c:v>
                </c:pt>
                <c:pt idx="7">
                  <c:v>20363.832062692996</c:v>
                </c:pt>
                <c:pt idx="8">
                  <c:v>21131.484444966674</c:v>
                </c:pt>
                <c:pt idx="9">
                  <c:v>28280.49569093794</c:v>
                </c:pt>
                <c:pt idx="10">
                  <c:v>22934.461715930745</c:v>
                </c:pt>
                <c:pt idx="11">
                  <c:v>22811.890937266187</c:v>
                </c:pt>
                <c:pt idx="12">
                  <c:v>24636.620006816909</c:v>
                </c:pt>
                <c:pt idx="13">
                  <c:v>33559.528734614316</c:v>
                </c:pt>
                <c:pt idx="14">
                  <c:v>28712.988147801196</c:v>
                </c:pt>
                <c:pt idx="15">
                  <c:v>29855.062013244828</c:v>
                </c:pt>
                <c:pt idx="16">
                  <c:v>32624.145368426638</c:v>
                </c:pt>
                <c:pt idx="17">
                  <c:v>42518.398801591524</c:v>
                </c:pt>
                <c:pt idx="18">
                  <c:v>36712.149411231978</c:v>
                </c:pt>
                <c:pt idx="19">
                  <c:v>37353.575039779338</c:v>
                </c:pt>
                <c:pt idx="20">
                  <c:v>40085.494334273222</c:v>
                </c:pt>
                <c:pt idx="21">
                  <c:v>53143.411411163339</c:v>
                </c:pt>
                <c:pt idx="22">
                  <c:v>51209.046065407376</c:v>
                </c:pt>
                <c:pt idx="23">
                  <c:v>55072.414402389571</c:v>
                </c:pt>
                <c:pt idx="24">
                  <c:v>59409.188375418693</c:v>
                </c:pt>
                <c:pt idx="25">
                  <c:v>71333.459531944623</c:v>
                </c:pt>
                <c:pt idx="26">
                  <c:v>61810.858369437483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0-4371-9C0A-88DA7E6A6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59071"/>
        <c:axId val="2089267583"/>
      </c:lineChart>
      <c:dateAx>
        <c:axId val="10485907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67583"/>
        <c:crosses val="autoZero"/>
        <c:auto val="1"/>
        <c:lblOffset val="100"/>
        <c:baseTimeUnit val="days"/>
      </c:dateAx>
      <c:valAx>
        <c:axId val="208926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Sheet7!$A$5:$A$32</c:f>
              <c:numCache>
                <c:formatCode>[$-409]mmm\-yy;@</c:formatCode>
                <c:ptCount val="28"/>
                <c:pt idx="0">
                  <c:v>41090</c:v>
                </c:pt>
                <c:pt idx="1">
                  <c:v>41182</c:v>
                </c:pt>
                <c:pt idx="2">
                  <c:v>41274</c:v>
                </c:pt>
                <c:pt idx="3">
                  <c:v>41364</c:v>
                </c:pt>
                <c:pt idx="4">
                  <c:v>41455</c:v>
                </c:pt>
                <c:pt idx="5">
                  <c:v>41547</c:v>
                </c:pt>
                <c:pt idx="6">
                  <c:v>41639</c:v>
                </c:pt>
                <c:pt idx="7">
                  <c:v>41729</c:v>
                </c:pt>
                <c:pt idx="8">
                  <c:v>41820</c:v>
                </c:pt>
                <c:pt idx="9">
                  <c:v>41912</c:v>
                </c:pt>
                <c:pt idx="10">
                  <c:v>42004</c:v>
                </c:pt>
                <c:pt idx="11">
                  <c:v>42094</c:v>
                </c:pt>
                <c:pt idx="12">
                  <c:v>42185</c:v>
                </c:pt>
                <c:pt idx="13">
                  <c:v>42277</c:v>
                </c:pt>
                <c:pt idx="14">
                  <c:v>42369</c:v>
                </c:pt>
                <c:pt idx="15">
                  <c:v>42460</c:v>
                </c:pt>
                <c:pt idx="16">
                  <c:v>42551</c:v>
                </c:pt>
                <c:pt idx="17">
                  <c:v>42643</c:v>
                </c:pt>
                <c:pt idx="18">
                  <c:v>42735</c:v>
                </c:pt>
                <c:pt idx="19">
                  <c:v>42825</c:v>
                </c:pt>
                <c:pt idx="20">
                  <c:v>42916</c:v>
                </c:pt>
                <c:pt idx="21">
                  <c:v>43008</c:v>
                </c:pt>
                <c:pt idx="22">
                  <c:v>43100</c:v>
                </c:pt>
                <c:pt idx="23">
                  <c:v>43190</c:v>
                </c:pt>
                <c:pt idx="24">
                  <c:v>43281</c:v>
                </c:pt>
                <c:pt idx="25">
                  <c:v>43373</c:v>
                </c:pt>
                <c:pt idx="26">
                  <c:v>43465</c:v>
                </c:pt>
                <c:pt idx="27">
                  <c:v>43466</c:v>
                </c:pt>
              </c:numCache>
            </c:numRef>
          </c:cat>
          <c:val>
            <c:numRef>
              <c:f>Sheet7!$B$5:$B$32</c:f>
              <c:numCache>
                <c:formatCode>_(* #,##0_);_(* \(#,##0\);_(* "-"??_);_(@_)</c:formatCode>
                <c:ptCount val="28"/>
                <c:pt idx="0">
                  <c:v>12834</c:v>
                </c:pt>
                <c:pt idx="1">
                  <c:v>13806</c:v>
                </c:pt>
                <c:pt idx="2">
                  <c:v>21268</c:v>
                </c:pt>
                <c:pt idx="3">
                  <c:v>16070</c:v>
                </c:pt>
                <c:pt idx="4">
                  <c:v>15704</c:v>
                </c:pt>
                <c:pt idx="5">
                  <c:v>17092</c:v>
                </c:pt>
                <c:pt idx="6">
                  <c:v>25587</c:v>
                </c:pt>
                <c:pt idx="7">
                  <c:v>19741</c:v>
                </c:pt>
                <c:pt idx="8">
                  <c:v>19340</c:v>
                </c:pt>
                <c:pt idx="9">
                  <c:v>20579</c:v>
                </c:pt>
                <c:pt idx="10">
                  <c:v>29328</c:v>
                </c:pt>
                <c:pt idx="11">
                  <c:v>22717</c:v>
                </c:pt>
                <c:pt idx="12">
                  <c:v>23185</c:v>
                </c:pt>
                <c:pt idx="13">
                  <c:v>25358</c:v>
                </c:pt>
                <c:pt idx="14">
                  <c:v>35747</c:v>
                </c:pt>
                <c:pt idx="15">
                  <c:v>29128</c:v>
                </c:pt>
                <c:pt idx="16">
                  <c:v>30404</c:v>
                </c:pt>
                <c:pt idx="17">
                  <c:v>32714</c:v>
                </c:pt>
                <c:pt idx="18">
                  <c:v>43741</c:v>
                </c:pt>
                <c:pt idx="19">
                  <c:v>35714</c:v>
                </c:pt>
                <c:pt idx="20">
                  <c:v>37955</c:v>
                </c:pt>
                <c:pt idx="21">
                  <c:v>43744</c:v>
                </c:pt>
                <c:pt idx="22">
                  <c:v>60453</c:v>
                </c:pt>
                <c:pt idx="23">
                  <c:v>51042</c:v>
                </c:pt>
                <c:pt idx="24">
                  <c:v>52886</c:v>
                </c:pt>
                <c:pt idx="25">
                  <c:v>56576</c:v>
                </c:pt>
                <c:pt idx="26">
                  <c:v>72383</c:v>
                </c:pt>
                <c:pt idx="27">
                  <c:v>59700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2-48E4-B679-D6F6ED2BC87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Sheet7!$A$5:$A$32</c:f>
              <c:numCache>
                <c:formatCode>[$-409]mmm\-yy;@</c:formatCode>
                <c:ptCount val="28"/>
                <c:pt idx="0">
                  <c:v>41090</c:v>
                </c:pt>
                <c:pt idx="1">
                  <c:v>41182</c:v>
                </c:pt>
                <c:pt idx="2">
                  <c:v>41274</c:v>
                </c:pt>
                <c:pt idx="3">
                  <c:v>41364</c:v>
                </c:pt>
                <c:pt idx="4">
                  <c:v>41455</c:v>
                </c:pt>
                <c:pt idx="5">
                  <c:v>41547</c:v>
                </c:pt>
                <c:pt idx="6">
                  <c:v>41639</c:v>
                </c:pt>
                <c:pt idx="7">
                  <c:v>41729</c:v>
                </c:pt>
                <c:pt idx="8">
                  <c:v>41820</c:v>
                </c:pt>
                <c:pt idx="9">
                  <c:v>41912</c:v>
                </c:pt>
                <c:pt idx="10">
                  <c:v>42004</c:v>
                </c:pt>
                <c:pt idx="11">
                  <c:v>42094</c:v>
                </c:pt>
                <c:pt idx="12">
                  <c:v>42185</c:v>
                </c:pt>
                <c:pt idx="13">
                  <c:v>42277</c:v>
                </c:pt>
                <c:pt idx="14">
                  <c:v>42369</c:v>
                </c:pt>
                <c:pt idx="15">
                  <c:v>42460</c:v>
                </c:pt>
                <c:pt idx="16">
                  <c:v>42551</c:v>
                </c:pt>
                <c:pt idx="17">
                  <c:v>42643</c:v>
                </c:pt>
                <c:pt idx="18">
                  <c:v>42735</c:v>
                </c:pt>
                <c:pt idx="19">
                  <c:v>42825</c:v>
                </c:pt>
                <c:pt idx="20">
                  <c:v>42916</c:v>
                </c:pt>
                <c:pt idx="21">
                  <c:v>43008</c:v>
                </c:pt>
                <c:pt idx="22">
                  <c:v>43100</c:v>
                </c:pt>
                <c:pt idx="23">
                  <c:v>43190</c:v>
                </c:pt>
                <c:pt idx="24">
                  <c:v>43281</c:v>
                </c:pt>
                <c:pt idx="25">
                  <c:v>43373</c:v>
                </c:pt>
                <c:pt idx="26">
                  <c:v>43465</c:v>
                </c:pt>
                <c:pt idx="27">
                  <c:v>43466</c:v>
                </c:pt>
              </c:numCache>
            </c:numRef>
          </c:cat>
          <c:val>
            <c:numRef>
              <c:f>Sheet7!$F$6:$F$32</c:f>
              <c:numCache>
                <c:formatCode>_(* #,##0_);_(* \(#,##0\);_(* "-"??_);_(@_)</c:formatCode>
                <c:ptCount val="27"/>
                <c:pt idx="0">
                  <c:v>13582.300795199351</c:v>
                </c:pt>
                <c:pt idx="1">
                  <c:v>14726.178153606097</c:v>
                </c:pt>
                <c:pt idx="2">
                  <c:v>15531.492543104849</c:v>
                </c:pt>
                <c:pt idx="3">
                  <c:v>16195.140299021474</c:v>
                </c:pt>
                <c:pt idx="4">
                  <c:v>16735.668647489547</c:v>
                </c:pt>
                <c:pt idx="5">
                  <c:v>18309.566801227029</c:v>
                </c:pt>
                <c:pt idx="6">
                  <c:v>19341.456750793717</c:v>
                </c:pt>
                <c:pt idx="7">
                  <c:v>20312.12234031862</c:v>
                </c:pt>
                <c:pt idx="8">
                  <c:v>21112.653839007999</c:v>
                </c:pt>
                <c:pt idx="9">
                  <c:v>22684.275583426515</c:v>
                </c:pt>
                <c:pt idx="10">
                  <c:v>23438.593725147632</c:v>
                </c:pt>
                <c:pt idx="11">
                  <c:v>24193.198941958042</c:v>
                </c:pt>
                <c:pt idx="12">
                  <c:v>25134.737349471634</c:v>
                </c:pt>
                <c:pt idx="13">
                  <c:v>27073.050281009037</c:v>
                </c:pt>
                <c:pt idx="14">
                  <c:v>28163.513974188529</c:v>
                </c:pt>
                <c:pt idx="15">
                  <c:v>29693.082080532116</c:v>
                </c:pt>
                <c:pt idx="16">
                  <c:v>31582.109273025773</c:v>
                </c:pt>
                <c:pt idx="17">
                  <c:v>34252.468577029154</c:v>
                </c:pt>
                <c:pt idx="18">
                  <c:v>35486.407585459965</c:v>
                </c:pt>
                <c:pt idx="19">
                  <c:v>37137.946453468358</c:v>
                </c:pt>
                <c:pt idx="20">
                  <c:v>39372.377673446666</c:v>
                </c:pt>
                <c:pt idx="21">
                  <c:v>43388.122478004429</c:v>
                </c:pt>
                <c:pt idx="22">
                  <c:v>46368.107032618253</c:v>
                </c:pt>
                <c:pt idx="23">
                  <c:v>50194.323649463193</c:v>
                </c:pt>
                <c:pt idx="24">
                  <c:v>54070.015629773239</c:v>
                </c:pt>
                <c:pt idx="25">
                  <c:v>58349.890873188029</c:v>
                </c:pt>
                <c:pt idx="26">
                  <c:v>60302.145004469741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42-48E4-B679-D6F6ED2BC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146751"/>
        <c:axId val="143525999"/>
      </c:lineChart>
      <c:dateAx>
        <c:axId val="188714675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5999"/>
        <c:crosses val="autoZero"/>
        <c:auto val="1"/>
        <c:lblOffset val="100"/>
        <c:baseTimeUnit val="days"/>
      </c:dateAx>
      <c:valAx>
        <c:axId val="14352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4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Sheet10!$A$2:$A$35</c:f>
              <c:numCache>
                <c:formatCode>[$-409]mmm\-yy;@</c:formatCode>
                <c:ptCount val="34"/>
                <c:pt idx="0">
                  <c:v>40816</c:v>
                </c:pt>
                <c:pt idx="1">
                  <c:v>40908</c:v>
                </c:pt>
                <c:pt idx="2">
                  <c:v>40999</c:v>
                </c:pt>
                <c:pt idx="3">
                  <c:v>41090</c:v>
                </c:pt>
                <c:pt idx="4">
                  <c:v>41182</c:v>
                </c:pt>
                <c:pt idx="5">
                  <c:v>41274</c:v>
                </c:pt>
                <c:pt idx="6">
                  <c:v>41364</c:v>
                </c:pt>
                <c:pt idx="7">
                  <c:v>41455</c:v>
                </c:pt>
                <c:pt idx="8">
                  <c:v>41547</c:v>
                </c:pt>
                <c:pt idx="9">
                  <c:v>41639</c:v>
                </c:pt>
                <c:pt idx="10">
                  <c:v>41729</c:v>
                </c:pt>
                <c:pt idx="11">
                  <c:v>41820</c:v>
                </c:pt>
                <c:pt idx="12">
                  <c:v>41912</c:v>
                </c:pt>
                <c:pt idx="13">
                  <c:v>42004</c:v>
                </c:pt>
                <c:pt idx="14">
                  <c:v>42094</c:v>
                </c:pt>
                <c:pt idx="15">
                  <c:v>42185</c:v>
                </c:pt>
                <c:pt idx="16">
                  <c:v>42277</c:v>
                </c:pt>
                <c:pt idx="17">
                  <c:v>42369</c:v>
                </c:pt>
                <c:pt idx="18">
                  <c:v>42460</c:v>
                </c:pt>
                <c:pt idx="19">
                  <c:v>42551</c:v>
                </c:pt>
                <c:pt idx="20">
                  <c:v>42643</c:v>
                </c:pt>
                <c:pt idx="21">
                  <c:v>42735</c:v>
                </c:pt>
                <c:pt idx="22">
                  <c:v>42825</c:v>
                </c:pt>
                <c:pt idx="23">
                  <c:v>42916</c:v>
                </c:pt>
                <c:pt idx="24">
                  <c:v>43008</c:v>
                </c:pt>
                <c:pt idx="25">
                  <c:v>43100</c:v>
                </c:pt>
                <c:pt idx="26">
                  <c:v>43190</c:v>
                </c:pt>
                <c:pt idx="27">
                  <c:v>43281</c:v>
                </c:pt>
                <c:pt idx="28">
                  <c:v>43373</c:v>
                </c:pt>
                <c:pt idx="29">
                  <c:v>43465</c:v>
                </c:pt>
                <c:pt idx="30">
                  <c:v>43466</c:v>
                </c:pt>
                <c:pt idx="31">
                  <c:v>42825</c:v>
                </c:pt>
                <c:pt idx="32">
                  <c:v>42916</c:v>
                </c:pt>
                <c:pt idx="33">
                  <c:v>43008</c:v>
                </c:pt>
              </c:numCache>
            </c:numRef>
          </c:cat>
          <c:val>
            <c:numRef>
              <c:f>Sheet10!$B$2:$B$35</c:f>
              <c:numCache>
                <c:formatCode>_(* #,##0_);_(* \(#,##0\);_(* "-"??_);_(@_)</c:formatCode>
                <c:ptCount val="34"/>
                <c:pt idx="0">
                  <c:v>10876</c:v>
                </c:pt>
                <c:pt idx="1">
                  <c:v>17431</c:v>
                </c:pt>
                <c:pt idx="2">
                  <c:v>13185</c:v>
                </c:pt>
                <c:pt idx="3">
                  <c:v>12834</c:v>
                </c:pt>
                <c:pt idx="4">
                  <c:v>13806</c:v>
                </c:pt>
                <c:pt idx="5">
                  <c:v>21268</c:v>
                </c:pt>
                <c:pt idx="6">
                  <c:v>16070</c:v>
                </c:pt>
                <c:pt idx="7">
                  <c:v>15704</c:v>
                </c:pt>
                <c:pt idx="8">
                  <c:v>17092</c:v>
                </c:pt>
                <c:pt idx="9">
                  <c:v>25587</c:v>
                </c:pt>
                <c:pt idx="10">
                  <c:v>19741</c:v>
                </c:pt>
                <c:pt idx="11">
                  <c:v>19340</c:v>
                </c:pt>
                <c:pt idx="12">
                  <c:v>20579</c:v>
                </c:pt>
                <c:pt idx="13">
                  <c:v>29328</c:v>
                </c:pt>
                <c:pt idx="14">
                  <c:v>22717</c:v>
                </c:pt>
                <c:pt idx="15">
                  <c:v>23185</c:v>
                </c:pt>
                <c:pt idx="16">
                  <c:v>25358</c:v>
                </c:pt>
                <c:pt idx="17">
                  <c:v>35747</c:v>
                </c:pt>
                <c:pt idx="18">
                  <c:v>29128</c:v>
                </c:pt>
                <c:pt idx="19">
                  <c:v>30404</c:v>
                </c:pt>
                <c:pt idx="20">
                  <c:v>32714</c:v>
                </c:pt>
                <c:pt idx="21">
                  <c:v>43741</c:v>
                </c:pt>
                <c:pt idx="22">
                  <c:v>35714</c:v>
                </c:pt>
                <c:pt idx="23">
                  <c:v>37955</c:v>
                </c:pt>
                <c:pt idx="24">
                  <c:v>43744</c:v>
                </c:pt>
                <c:pt idx="25">
                  <c:v>60453</c:v>
                </c:pt>
                <c:pt idx="26">
                  <c:v>51042</c:v>
                </c:pt>
                <c:pt idx="27">
                  <c:v>52886</c:v>
                </c:pt>
                <c:pt idx="28">
                  <c:v>56576</c:v>
                </c:pt>
                <c:pt idx="29">
                  <c:v>72383</c:v>
                </c:pt>
                <c:pt idx="30">
                  <c:v>59700</c:v>
                </c:pt>
                <c:pt idx="31">
                  <c:v>70382.972222222204</c:v>
                </c:pt>
                <c:pt idx="32">
                  <c:v>74005.055555555504</c:v>
                </c:pt>
                <c:pt idx="33">
                  <c:v>77627.138888888905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6-4525-A111-41081F03CEC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Sheet10!$A$2:$A$35</c:f>
              <c:numCache>
                <c:formatCode>[$-409]mmm\-yy;@</c:formatCode>
                <c:ptCount val="34"/>
                <c:pt idx="0">
                  <c:v>40816</c:v>
                </c:pt>
                <c:pt idx="1">
                  <c:v>40908</c:v>
                </c:pt>
                <c:pt idx="2">
                  <c:v>40999</c:v>
                </c:pt>
                <c:pt idx="3">
                  <c:v>41090</c:v>
                </c:pt>
                <c:pt idx="4">
                  <c:v>41182</c:v>
                </c:pt>
                <c:pt idx="5">
                  <c:v>41274</c:v>
                </c:pt>
                <c:pt idx="6">
                  <c:v>41364</c:v>
                </c:pt>
                <c:pt idx="7">
                  <c:v>41455</c:v>
                </c:pt>
                <c:pt idx="8">
                  <c:v>41547</c:v>
                </c:pt>
                <c:pt idx="9">
                  <c:v>41639</c:v>
                </c:pt>
                <c:pt idx="10">
                  <c:v>41729</c:v>
                </c:pt>
                <c:pt idx="11">
                  <c:v>41820</c:v>
                </c:pt>
                <c:pt idx="12">
                  <c:v>41912</c:v>
                </c:pt>
                <c:pt idx="13">
                  <c:v>42004</c:v>
                </c:pt>
                <c:pt idx="14">
                  <c:v>42094</c:v>
                </c:pt>
                <c:pt idx="15">
                  <c:v>42185</c:v>
                </c:pt>
                <c:pt idx="16">
                  <c:v>42277</c:v>
                </c:pt>
                <c:pt idx="17">
                  <c:v>42369</c:v>
                </c:pt>
                <c:pt idx="18">
                  <c:v>42460</c:v>
                </c:pt>
                <c:pt idx="19">
                  <c:v>42551</c:v>
                </c:pt>
                <c:pt idx="20">
                  <c:v>42643</c:v>
                </c:pt>
                <c:pt idx="21">
                  <c:v>42735</c:v>
                </c:pt>
                <c:pt idx="22">
                  <c:v>42825</c:v>
                </c:pt>
                <c:pt idx="23">
                  <c:v>42916</c:v>
                </c:pt>
                <c:pt idx="24">
                  <c:v>43008</c:v>
                </c:pt>
                <c:pt idx="25">
                  <c:v>43100</c:v>
                </c:pt>
                <c:pt idx="26">
                  <c:v>43190</c:v>
                </c:pt>
                <c:pt idx="27">
                  <c:v>43281</c:v>
                </c:pt>
                <c:pt idx="28">
                  <c:v>43373</c:v>
                </c:pt>
                <c:pt idx="29">
                  <c:v>43465</c:v>
                </c:pt>
                <c:pt idx="30">
                  <c:v>43466</c:v>
                </c:pt>
                <c:pt idx="31">
                  <c:v>42825</c:v>
                </c:pt>
                <c:pt idx="32">
                  <c:v>42916</c:v>
                </c:pt>
                <c:pt idx="33">
                  <c:v>43008</c:v>
                </c:pt>
              </c:numCache>
            </c:numRef>
          </c:cat>
          <c:val>
            <c:numRef>
              <c:f>Sheet10!$G$2:$G$35</c:f>
              <c:numCache>
                <c:formatCode>General</c:formatCode>
                <c:ptCount val="34"/>
                <c:pt idx="0">
                  <c:v>4852.3894808743225</c:v>
                </c:pt>
                <c:pt idx="1">
                  <c:v>15178.47850637523</c:v>
                </c:pt>
                <c:pt idx="2">
                  <c:v>7307.5124121779882</c:v>
                </c:pt>
                <c:pt idx="3">
                  <c:v>7980.5124121779863</c:v>
                </c:pt>
                <c:pt idx="4">
                  <c:v>11349.742486338804</c:v>
                </c:pt>
                <c:pt idx="5">
                  <c:v>21675.831511839711</c:v>
                </c:pt>
                <c:pt idx="6">
                  <c:v>13804.865417642468</c:v>
                </c:pt>
                <c:pt idx="7">
                  <c:v>14477.865417642466</c:v>
                </c:pt>
                <c:pt idx="8">
                  <c:v>17847.095491803284</c:v>
                </c:pt>
                <c:pt idx="9">
                  <c:v>28173.184517304191</c:v>
                </c:pt>
                <c:pt idx="10">
                  <c:v>20302.218423106951</c:v>
                </c:pt>
                <c:pt idx="11">
                  <c:v>20975.218423106948</c:v>
                </c:pt>
                <c:pt idx="12">
                  <c:v>24344.448497267767</c:v>
                </c:pt>
                <c:pt idx="13">
                  <c:v>34670.537522768675</c:v>
                </c:pt>
                <c:pt idx="14">
                  <c:v>26799.571428571431</c:v>
                </c:pt>
                <c:pt idx="15">
                  <c:v>27472.571428571428</c:v>
                </c:pt>
                <c:pt idx="16">
                  <c:v>30841.801502732247</c:v>
                </c:pt>
                <c:pt idx="17">
                  <c:v>41167.890528233154</c:v>
                </c:pt>
                <c:pt idx="18">
                  <c:v>33296.924434035915</c:v>
                </c:pt>
                <c:pt idx="19">
                  <c:v>33969.924434035907</c:v>
                </c:pt>
                <c:pt idx="20">
                  <c:v>37339.154508196727</c:v>
                </c:pt>
                <c:pt idx="21">
                  <c:v>47665.243533697634</c:v>
                </c:pt>
                <c:pt idx="22">
                  <c:v>39794.277439500394</c:v>
                </c:pt>
                <c:pt idx="23">
                  <c:v>40467.277439500387</c:v>
                </c:pt>
                <c:pt idx="24">
                  <c:v>43836.507513661207</c:v>
                </c:pt>
                <c:pt idx="25">
                  <c:v>54162.596539162114</c:v>
                </c:pt>
                <c:pt idx="26">
                  <c:v>46291.630444964874</c:v>
                </c:pt>
                <c:pt idx="27">
                  <c:v>46964.630444964867</c:v>
                </c:pt>
                <c:pt idx="28">
                  <c:v>50333.860519125687</c:v>
                </c:pt>
                <c:pt idx="29">
                  <c:v>60659.949544626594</c:v>
                </c:pt>
                <c:pt idx="30">
                  <c:v>62284.287795992714</c:v>
                </c:pt>
                <c:pt idx="31">
                  <c:v>54413.321701795474</c:v>
                </c:pt>
                <c:pt idx="32">
                  <c:v>55086.321701795467</c:v>
                </c:pt>
                <c:pt idx="33">
                  <c:v>58455.551775956286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6-4525-A111-41081F03C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160015"/>
        <c:axId val="143549519"/>
      </c:lineChart>
      <c:dateAx>
        <c:axId val="62916001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49519"/>
        <c:crosses val="autoZero"/>
        <c:auto val="1"/>
        <c:lblOffset val="100"/>
        <c:baseTimeUnit val="days"/>
      </c:dateAx>
      <c:valAx>
        <c:axId val="1435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422275</xdr:colOff>
      <xdr:row>20</xdr:row>
      <xdr:rowOff>6350</xdr:rowOff>
    </xdr:from>
    <xdr:to>
      <xdr:col>21</xdr:col>
      <xdr:colOff>117475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1234E-D58D-16A5-1295-9BE2A49BC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92075</xdr:colOff>
      <xdr:row>2</xdr:row>
      <xdr:rowOff>177800</xdr:rowOff>
    </xdr:from>
    <xdr:to>
      <xdr:col>20</xdr:col>
      <xdr:colOff>396875</xdr:colOff>
      <xdr:row>17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5F190-8408-034A-9C45-596190BAB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434975</xdr:colOff>
      <xdr:row>51</xdr:row>
      <xdr:rowOff>19050</xdr:rowOff>
    </xdr:from>
    <xdr:to>
      <xdr:col>21</xdr:col>
      <xdr:colOff>130175</xdr:colOff>
      <xdr:row>66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9B60AA-3F83-DC4D-DD21-9280D2DA9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377824</xdr:colOff>
      <xdr:row>16</xdr:row>
      <xdr:rowOff>31750</xdr:rowOff>
    </xdr:from>
    <xdr:to>
      <xdr:col>14</xdr:col>
      <xdr:colOff>177799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9E61B-17CC-C807-52EC-53248AE23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269875</xdr:colOff>
      <xdr:row>11</xdr:row>
      <xdr:rowOff>76200</xdr:rowOff>
    </xdr:from>
    <xdr:to>
      <xdr:col>15</xdr:col>
      <xdr:colOff>358775</xdr:colOff>
      <xdr:row>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76724-8DE0-6F9F-5D52-D7A0CB782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130175</xdr:colOff>
      <xdr:row>11</xdr:row>
      <xdr:rowOff>76200</xdr:rowOff>
    </xdr:from>
    <xdr:to>
      <xdr:col>20</xdr:col>
      <xdr:colOff>434975</xdr:colOff>
      <xdr:row>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9730E0-EF1A-3E00-FB80-181EA8D68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11</xdr:row>
      <xdr:rowOff>76200</xdr:rowOff>
    </xdr:from>
    <xdr:to>
      <xdr:col>15</xdr:col>
      <xdr:colOff>339725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3E3DF-2283-42F8-CF12-52FEA0364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523875</xdr:colOff>
      <xdr:row>1</xdr:row>
      <xdr:rowOff>57150</xdr:rowOff>
    </xdr:from>
    <xdr:to>
      <xdr:col>25</xdr:col>
      <xdr:colOff>219075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A06C7-F7A8-0B72-D064-45DC4294C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opLeftCell="A16" workbookViewId="0">
      <selection activeCell="K5" sqref="K5"/>
    </sheetView>
  </sheetViews>
  <sheetFormatPr defaultRowHeight="14.5" x14ac:dyDescent="0.35"/>
  <sheetData>
    <row r="1" spans="1:7" x14ac:dyDescent="0.35">
      <c r="A1" s="1" t="s">
        <v>0</v>
      </c>
      <c r="B1" t="s">
        <v>3</v>
      </c>
      <c r="C1" s="1" t="s">
        <v>1</v>
      </c>
      <c r="D1" t="s">
        <v>2</v>
      </c>
      <c r="E1" t="s">
        <v>4</v>
      </c>
      <c r="F1" t="s">
        <v>8</v>
      </c>
      <c r="G1" t="s">
        <v>9</v>
      </c>
    </row>
    <row r="2" spans="1:7" x14ac:dyDescent="0.35">
      <c r="A2" s="2">
        <v>40816</v>
      </c>
      <c r="B2" s="5">
        <f>MONTH(A2)/3</f>
        <v>3</v>
      </c>
      <c r="C2" s="3">
        <v>10876</v>
      </c>
    </row>
    <row r="3" spans="1:7" x14ac:dyDescent="0.35">
      <c r="A3" s="2">
        <v>40908</v>
      </c>
      <c r="B3" s="5">
        <f t="shared" ref="B3:B32" si="0">MONTH(A3)/3</f>
        <v>4</v>
      </c>
      <c r="C3" s="3">
        <v>17431</v>
      </c>
    </row>
    <row r="4" spans="1:7" x14ac:dyDescent="0.35">
      <c r="A4" s="2">
        <v>40999</v>
      </c>
      <c r="B4" s="5">
        <f t="shared" si="0"/>
        <v>1</v>
      </c>
      <c r="C4" s="3">
        <v>13185</v>
      </c>
      <c r="D4" s="4">
        <f t="shared" ref="D4:D32" si="1">AVERAGE(AVERAGE(C2:C5),AVERAGE(C3:C6))</f>
        <v>13947.75</v>
      </c>
      <c r="E4">
        <f>C4/D4</f>
        <v>0.94531376028391678</v>
      </c>
      <c r="F4">
        <f>VLOOKUP(B4,$I$22:$K$26,3,FALSE)</f>
        <v>0.93838296859374026</v>
      </c>
      <c r="G4">
        <f>E4/F4</f>
        <v>1.0073858881950544</v>
      </c>
    </row>
    <row r="5" spans="1:7" x14ac:dyDescent="0.35">
      <c r="A5" s="2">
        <v>41090</v>
      </c>
      <c r="B5" s="5">
        <f t="shared" si="0"/>
        <v>2</v>
      </c>
      <c r="C5" s="3">
        <v>12834</v>
      </c>
      <c r="D5" s="4">
        <f t="shared" si="1"/>
        <v>14793.625</v>
      </c>
      <c r="E5">
        <f t="shared" ref="E5:E32" si="2">C5/D5</f>
        <v>0.86753584736668665</v>
      </c>
      <c r="F5">
        <f t="shared" ref="F5:F32" si="3">VLOOKUP(B5,$I$22:$K$26,3,FALSE)</f>
        <v>0.89628198905840795</v>
      </c>
      <c r="G5">
        <f>E5/F5</f>
        <v>0.96792734647951517</v>
      </c>
    </row>
    <row r="6" spans="1:7" x14ac:dyDescent="0.35">
      <c r="A6" s="2">
        <v>41182</v>
      </c>
      <c r="B6" s="5">
        <f t="shared" si="0"/>
        <v>3</v>
      </c>
      <c r="C6" s="3">
        <v>13806</v>
      </c>
      <c r="D6" s="4">
        <f t="shared" si="1"/>
        <v>15633.875</v>
      </c>
      <c r="E6">
        <f t="shared" si="2"/>
        <v>0.88308240919157921</v>
      </c>
      <c r="F6">
        <f t="shared" si="3"/>
        <v>0.92185995716276548</v>
      </c>
      <c r="G6">
        <f t="shared" ref="G6:G32" si="4">E6/F6</f>
        <v>0.95793553275647958</v>
      </c>
    </row>
    <row r="7" spans="1:7" x14ac:dyDescent="0.35">
      <c r="A7" s="2">
        <v>41274</v>
      </c>
      <c r="B7" s="5">
        <f t="shared" si="0"/>
        <v>4</v>
      </c>
      <c r="C7" s="3">
        <v>21268</v>
      </c>
      <c r="D7" s="4">
        <f t="shared" si="1"/>
        <v>16353.25</v>
      </c>
      <c r="E7">
        <f t="shared" si="2"/>
        <v>1.3005365905859692</v>
      </c>
      <c r="F7">
        <f t="shared" si="3"/>
        <v>1.2434750851850864</v>
      </c>
      <c r="G7">
        <f t="shared" si="4"/>
        <v>1.0458887404184616</v>
      </c>
    </row>
    <row r="8" spans="1:7" x14ac:dyDescent="0.35">
      <c r="A8" s="2">
        <v>41364</v>
      </c>
      <c r="B8" s="5">
        <f t="shared" si="0"/>
        <v>1</v>
      </c>
      <c r="C8" s="3">
        <v>16070</v>
      </c>
      <c r="D8" s="4">
        <f t="shared" si="1"/>
        <v>17122.75</v>
      </c>
      <c r="E8">
        <f t="shared" si="2"/>
        <v>0.93851746944854064</v>
      </c>
      <c r="F8">
        <f t="shared" si="3"/>
        <v>0.93838296859374026</v>
      </c>
      <c r="G8">
        <f t="shared" si="4"/>
        <v>1.0001433325830731</v>
      </c>
    </row>
    <row r="9" spans="1:7" x14ac:dyDescent="0.35">
      <c r="A9" s="2">
        <v>41455</v>
      </c>
      <c r="B9" s="5">
        <f t="shared" si="0"/>
        <v>2</v>
      </c>
      <c r="C9" s="3">
        <v>15704</v>
      </c>
      <c r="D9" s="4">
        <f t="shared" si="1"/>
        <v>18073.375</v>
      </c>
      <c r="E9">
        <f t="shared" si="2"/>
        <v>0.86890246011052175</v>
      </c>
      <c r="F9">
        <f t="shared" si="3"/>
        <v>0.89628198905840795</v>
      </c>
      <c r="G9">
        <f t="shared" si="4"/>
        <v>0.96945210404523485</v>
      </c>
    </row>
    <row r="10" spans="1:7" x14ac:dyDescent="0.35">
      <c r="A10" s="2">
        <v>41547</v>
      </c>
      <c r="B10" s="5">
        <f t="shared" si="0"/>
        <v>3</v>
      </c>
      <c r="C10" s="3">
        <v>17092</v>
      </c>
      <c r="D10" s="4">
        <f t="shared" si="1"/>
        <v>19072.125</v>
      </c>
      <c r="E10">
        <f t="shared" si="2"/>
        <v>0.89617701226266078</v>
      </c>
      <c r="F10">
        <f t="shared" si="3"/>
        <v>0.92185995716276548</v>
      </c>
      <c r="G10">
        <f t="shared" si="4"/>
        <v>0.97214007973711125</v>
      </c>
    </row>
    <row r="11" spans="1:7" x14ac:dyDescent="0.35">
      <c r="A11" s="2">
        <v>41639</v>
      </c>
      <c r="B11" s="5">
        <f t="shared" si="0"/>
        <v>4</v>
      </c>
      <c r="C11" s="3">
        <v>25587</v>
      </c>
      <c r="D11" s="4">
        <f t="shared" si="1"/>
        <v>19985.5</v>
      </c>
      <c r="E11">
        <f t="shared" si="2"/>
        <v>1.2802782016962297</v>
      </c>
      <c r="F11">
        <f t="shared" si="3"/>
        <v>1.2434750851850864</v>
      </c>
      <c r="G11">
        <f t="shared" si="4"/>
        <v>1.0295969874665123</v>
      </c>
    </row>
    <row r="12" spans="1:7" x14ac:dyDescent="0.35">
      <c r="A12" s="2">
        <v>41729</v>
      </c>
      <c r="B12" s="5">
        <f t="shared" si="0"/>
        <v>1</v>
      </c>
      <c r="C12" s="3">
        <v>19741</v>
      </c>
      <c r="D12" s="4">
        <f t="shared" si="1"/>
        <v>20875.875</v>
      </c>
      <c r="E12">
        <f t="shared" si="2"/>
        <v>0.9456370092271581</v>
      </c>
      <c r="F12">
        <f t="shared" si="3"/>
        <v>0.93838296859374026</v>
      </c>
      <c r="G12">
        <f t="shared" si="4"/>
        <v>1.0077303626303968</v>
      </c>
    </row>
    <row r="13" spans="1:7" x14ac:dyDescent="0.35">
      <c r="A13" s="2">
        <v>41820</v>
      </c>
      <c r="B13" s="5">
        <f t="shared" si="0"/>
        <v>2</v>
      </c>
      <c r="C13" s="3">
        <v>19340</v>
      </c>
      <c r="D13" s="4">
        <f t="shared" si="1"/>
        <v>21779.375</v>
      </c>
      <c r="E13">
        <f t="shared" si="2"/>
        <v>0.88799609722501216</v>
      </c>
      <c r="F13">
        <f t="shared" si="3"/>
        <v>0.89628198905840795</v>
      </c>
      <c r="G13">
        <f t="shared" si="4"/>
        <v>0.99075526236770572</v>
      </c>
    </row>
    <row r="14" spans="1:7" x14ac:dyDescent="0.35">
      <c r="A14" s="2">
        <v>41912</v>
      </c>
      <c r="B14" s="5">
        <f t="shared" si="0"/>
        <v>3</v>
      </c>
      <c r="C14" s="3">
        <v>20579</v>
      </c>
      <c r="D14" s="4">
        <f t="shared" si="1"/>
        <v>22619</v>
      </c>
      <c r="E14">
        <f t="shared" si="2"/>
        <v>0.90981033644281362</v>
      </c>
      <c r="F14">
        <f t="shared" si="3"/>
        <v>0.92185995716276548</v>
      </c>
      <c r="G14">
        <f t="shared" si="4"/>
        <v>0.98692901169388314</v>
      </c>
    </row>
    <row r="15" spans="1:7" x14ac:dyDescent="0.35">
      <c r="A15" s="2">
        <v>42004</v>
      </c>
      <c r="B15" s="5">
        <f t="shared" si="0"/>
        <v>4</v>
      </c>
      <c r="C15" s="3">
        <v>29328</v>
      </c>
      <c r="D15" s="4">
        <f t="shared" si="1"/>
        <v>23471.625</v>
      </c>
      <c r="E15">
        <f t="shared" si="2"/>
        <v>1.249508715310508</v>
      </c>
      <c r="F15">
        <f t="shared" si="3"/>
        <v>1.2434750851850864</v>
      </c>
      <c r="G15">
        <f t="shared" si="4"/>
        <v>1.0048522324229145</v>
      </c>
    </row>
    <row r="16" spans="1:7" x14ac:dyDescent="0.35">
      <c r="A16" s="2">
        <v>42094</v>
      </c>
      <c r="B16" s="5">
        <f t="shared" si="0"/>
        <v>1</v>
      </c>
      <c r="C16" s="3">
        <v>22717</v>
      </c>
      <c r="D16" s="4">
        <f t="shared" si="1"/>
        <v>24549.625</v>
      </c>
      <c r="E16">
        <f t="shared" si="2"/>
        <v>0.92535018355677534</v>
      </c>
      <c r="F16">
        <f t="shared" si="3"/>
        <v>0.93838296859374026</v>
      </c>
      <c r="G16">
        <f t="shared" si="4"/>
        <v>0.98611144333054568</v>
      </c>
    </row>
    <row r="17" spans="1:11" x14ac:dyDescent="0.35">
      <c r="A17" s="2">
        <v>42185</v>
      </c>
      <c r="B17" s="5">
        <f t="shared" si="0"/>
        <v>2</v>
      </c>
      <c r="C17" s="3">
        <v>23185</v>
      </c>
      <c r="D17" s="4">
        <f t="shared" si="1"/>
        <v>25949.375</v>
      </c>
      <c r="E17">
        <f t="shared" si="2"/>
        <v>0.89347045930778679</v>
      </c>
      <c r="F17">
        <f t="shared" si="3"/>
        <v>0.89628198905840795</v>
      </c>
      <c r="G17">
        <f t="shared" si="4"/>
        <v>0.99686311921365867</v>
      </c>
    </row>
    <row r="18" spans="1:11" x14ac:dyDescent="0.35">
      <c r="A18" s="2">
        <v>42277</v>
      </c>
      <c r="B18" s="5">
        <f t="shared" si="0"/>
        <v>3</v>
      </c>
      <c r="C18" s="3">
        <v>25358</v>
      </c>
      <c r="D18" s="4">
        <f t="shared" si="1"/>
        <v>27553.125</v>
      </c>
      <c r="E18">
        <f t="shared" si="2"/>
        <v>0.92033117840535328</v>
      </c>
      <c r="F18">
        <f t="shared" si="3"/>
        <v>0.92185995716276548</v>
      </c>
      <c r="G18">
        <f t="shared" si="4"/>
        <v>0.99834163666017406</v>
      </c>
    </row>
    <row r="19" spans="1:11" x14ac:dyDescent="0.35">
      <c r="A19" s="2">
        <v>42369</v>
      </c>
      <c r="B19" s="5">
        <f t="shared" si="0"/>
        <v>4</v>
      </c>
      <c r="C19" s="3">
        <v>35747</v>
      </c>
      <c r="D19" s="4">
        <f t="shared" si="1"/>
        <v>29256.875</v>
      </c>
      <c r="E19">
        <f t="shared" si="2"/>
        <v>1.2218324752729059</v>
      </c>
      <c r="F19">
        <f t="shared" si="3"/>
        <v>1.2434750851850864</v>
      </c>
      <c r="G19">
        <f t="shared" si="4"/>
        <v>0.98259505946678538</v>
      </c>
    </row>
    <row r="20" spans="1:11" x14ac:dyDescent="0.35">
      <c r="A20" s="2">
        <v>42460</v>
      </c>
      <c r="B20" s="5">
        <f t="shared" si="0"/>
        <v>1</v>
      </c>
      <c r="C20" s="3">
        <v>29128</v>
      </c>
      <c r="D20" s="4">
        <f t="shared" si="1"/>
        <v>31078.75</v>
      </c>
      <c r="E20">
        <f t="shared" si="2"/>
        <v>0.93723203153279977</v>
      </c>
      <c r="F20">
        <f t="shared" si="3"/>
        <v>0.93838296859374026</v>
      </c>
      <c r="G20">
        <f t="shared" si="4"/>
        <v>0.99877348897043039</v>
      </c>
    </row>
    <row r="21" spans="1:11" x14ac:dyDescent="0.35">
      <c r="A21" s="2">
        <v>42551</v>
      </c>
      <c r="B21" s="5">
        <f t="shared" si="0"/>
        <v>2</v>
      </c>
      <c r="C21" s="3">
        <v>30404</v>
      </c>
      <c r="D21" s="4">
        <f t="shared" si="1"/>
        <v>32997.5</v>
      </c>
      <c r="E21">
        <f t="shared" si="2"/>
        <v>0.92140313660125772</v>
      </c>
      <c r="F21">
        <f t="shared" si="3"/>
        <v>0.89628198905840795</v>
      </c>
      <c r="G21">
        <f t="shared" si="4"/>
        <v>1.0280281740005073</v>
      </c>
    </row>
    <row r="22" spans="1:11" x14ac:dyDescent="0.35">
      <c r="A22" s="2">
        <v>42643</v>
      </c>
      <c r="B22" s="5">
        <f t="shared" si="0"/>
        <v>3</v>
      </c>
      <c r="C22" s="3">
        <v>32714</v>
      </c>
      <c r="D22" s="4">
        <f t="shared" si="1"/>
        <v>34820</v>
      </c>
      <c r="E22">
        <f t="shared" si="2"/>
        <v>0.93951751866743249</v>
      </c>
      <c r="F22">
        <f t="shared" si="3"/>
        <v>0.92185995716276548</v>
      </c>
      <c r="G22">
        <f t="shared" si="4"/>
        <v>1.0191542775748847</v>
      </c>
      <c r="I22" t="s">
        <v>5</v>
      </c>
      <c r="J22" t="s">
        <v>6</v>
      </c>
      <c r="K22" t="s">
        <v>7</v>
      </c>
    </row>
    <row r="23" spans="1:11" x14ac:dyDescent="0.35">
      <c r="A23" s="2">
        <v>42735</v>
      </c>
      <c r="B23" s="5">
        <f t="shared" si="0"/>
        <v>4</v>
      </c>
      <c r="C23" s="3">
        <v>43741</v>
      </c>
      <c r="D23" s="4">
        <f t="shared" si="1"/>
        <v>36587.125</v>
      </c>
      <c r="E23">
        <f t="shared" si="2"/>
        <v>1.1955298482731289</v>
      </c>
      <c r="F23">
        <f t="shared" si="3"/>
        <v>1.2434750851850864</v>
      </c>
      <c r="G23">
        <f t="shared" si="4"/>
        <v>0.96144254317341549</v>
      </c>
      <c r="I23">
        <v>1</v>
      </c>
      <c r="J23">
        <f>AVERAGEIF($B$4:$B$30,I23,$E$4:E30)</f>
        <v>0.93736690727753835</v>
      </c>
      <c r="K23" s="6">
        <f>J23/AVERAGE($J$23:$J$26)</f>
        <v>0.93838296859374026</v>
      </c>
    </row>
    <row r="24" spans="1:11" x14ac:dyDescent="0.35">
      <c r="A24" s="2">
        <v>42825</v>
      </c>
      <c r="B24" s="5">
        <f t="shared" si="0"/>
        <v>1</v>
      </c>
      <c r="C24" s="3">
        <v>35714</v>
      </c>
      <c r="D24" s="4">
        <f t="shared" si="1"/>
        <v>38909.75</v>
      </c>
      <c r="E24">
        <f t="shared" si="2"/>
        <v>0.9178676295787046</v>
      </c>
      <c r="F24">
        <f t="shared" si="3"/>
        <v>0.93838296859374026</v>
      </c>
      <c r="G24">
        <f t="shared" si="4"/>
        <v>0.97813756248604988</v>
      </c>
      <c r="I24">
        <v>2</v>
      </c>
      <c r="J24">
        <f>AVERAGEIF($B$4:$B$30,I24,$E$4:E31)</f>
        <v>0.8953115137962071</v>
      </c>
      <c r="K24" s="6">
        <f>J24/AVERAGE($J$23:$J$26)</f>
        <v>0.89628198905840795</v>
      </c>
    </row>
    <row r="25" spans="1:11" x14ac:dyDescent="0.35">
      <c r="A25" s="2">
        <v>42916</v>
      </c>
      <c r="B25" s="5">
        <f t="shared" si="0"/>
        <v>2</v>
      </c>
      <c r="C25" s="3">
        <v>37955</v>
      </c>
      <c r="D25" s="4">
        <f t="shared" si="1"/>
        <v>42377.5</v>
      </c>
      <c r="E25">
        <f t="shared" si="2"/>
        <v>0.89564037519910333</v>
      </c>
      <c r="F25">
        <f t="shared" si="3"/>
        <v>0.89628198905840795</v>
      </c>
      <c r="G25">
        <f t="shared" si="4"/>
        <v>0.99928413839936836</v>
      </c>
      <c r="I25">
        <v>3</v>
      </c>
      <c r="J25">
        <f>AVERAGEIF($B$4:$B$30,I25,$E$4:E32)</f>
        <v>0.9208617866153691</v>
      </c>
      <c r="K25" s="6">
        <f>J25/AVERAGE($J$23:$J$26)</f>
        <v>0.92185995716276548</v>
      </c>
    </row>
    <row r="26" spans="1:11" x14ac:dyDescent="0.35">
      <c r="A26" s="2">
        <v>43008</v>
      </c>
      <c r="B26" s="5">
        <f t="shared" si="0"/>
        <v>3</v>
      </c>
      <c r="C26" s="3">
        <v>43744</v>
      </c>
      <c r="D26" s="4">
        <f t="shared" si="1"/>
        <v>46382.5</v>
      </c>
      <c r="E26">
        <f t="shared" si="2"/>
        <v>0.94311432113404836</v>
      </c>
      <c r="F26">
        <f t="shared" si="3"/>
        <v>0.92185995716276548</v>
      </c>
      <c r="G26">
        <f t="shared" si="4"/>
        <v>1.0230559574761204</v>
      </c>
      <c r="I26">
        <v>4</v>
      </c>
      <c r="J26">
        <f>AVERAGEIF($B$4:$B$30,I26,$E$4:E33)</f>
        <v>1.2421286765502293</v>
      </c>
      <c r="K26" s="6">
        <f>J26/AVERAGE($J$23:$J$26)</f>
        <v>1.2434750851850864</v>
      </c>
    </row>
    <row r="27" spans="1:11" x14ac:dyDescent="0.35">
      <c r="A27" s="2">
        <v>43100</v>
      </c>
      <c r="B27" s="5">
        <f t="shared" si="0"/>
        <v>4</v>
      </c>
      <c r="C27" s="3">
        <v>60453</v>
      </c>
      <c r="D27" s="4">
        <f t="shared" si="1"/>
        <v>50164.875</v>
      </c>
      <c r="E27">
        <f t="shared" si="2"/>
        <v>1.2050862281626338</v>
      </c>
      <c r="F27">
        <f t="shared" si="3"/>
        <v>1.2434750851850864</v>
      </c>
      <c r="G27">
        <f t="shared" si="4"/>
        <v>0.96912776341092621</v>
      </c>
    </row>
    <row r="28" spans="1:11" x14ac:dyDescent="0.35">
      <c r="A28" s="2">
        <v>43190</v>
      </c>
      <c r="B28" s="5">
        <f t="shared" si="0"/>
        <v>1</v>
      </c>
      <c r="C28" s="3">
        <v>51042</v>
      </c>
      <c r="D28" s="4">
        <f t="shared" si="1"/>
        <v>53635.25</v>
      </c>
      <c r="E28">
        <f t="shared" si="2"/>
        <v>0.95165026731487223</v>
      </c>
      <c r="F28">
        <f t="shared" si="3"/>
        <v>0.93838296859374026</v>
      </c>
      <c r="G28">
        <f t="shared" si="4"/>
        <v>1.0141384692233004</v>
      </c>
      <c r="H28">
        <f>SUM(J23:J26)</f>
        <v>3.9956688842393437</v>
      </c>
    </row>
    <row r="29" spans="1:11" x14ac:dyDescent="0.35">
      <c r="A29" s="2">
        <v>43281</v>
      </c>
      <c r="B29" s="5">
        <f t="shared" si="0"/>
        <v>2</v>
      </c>
      <c r="C29" s="3">
        <v>52886</v>
      </c>
      <c r="D29" s="4">
        <f t="shared" si="1"/>
        <v>56730.5</v>
      </c>
      <c r="E29">
        <f t="shared" si="2"/>
        <v>0.93223222076308154</v>
      </c>
      <c r="F29">
        <f t="shared" si="3"/>
        <v>0.89628198905840795</v>
      </c>
      <c r="G29">
        <f t="shared" si="4"/>
        <v>1.0401104029128614</v>
      </c>
    </row>
    <row r="30" spans="1:11" x14ac:dyDescent="0.35">
      <c r="A30" s="2">
        <v>43373</v>
      </c>
      <c r="B30" s="5">
        <f t="shared" si="0"/>
        <v>3</v>
      </c>
      <c r="C30" s="3">
        <v>56576</v>
      </c>
      <c r="D30" s="4">
        <f t="shared" si="1"/>
        <v>59304</v>
      </c>
      <c r="E30">
        <f t="shared" si="2"/>
        <v>0.95399973020369622</v>
      </c>
      <c r="F30">
        <f t="shared" si="3"/>
        <v>0.92185995716276548</v>
      </c>
      <c r="G30">
        <f t="shared" si="4"/>
        <v>1.0348640515201986</v>
      </c>
    </row>
    <row r="31" spans="1:11" x14ac:dyDescent="0.35">
      <c r="A31" s="2">
        <v>43465</v>
      </c>
      <c r="B31" s="5">
        <f t="shared" si="0"/>
        <v>4</v>
      </c>
      <c r="C31" s="3">
        <v>72383</v>
      </c>
      <c r="D31" s="4">
        <f t="shared" si="1"/>
        <v>61636.291666666672</v>
      </c>
      <c r="E31">
        <f t="shared" si="2"/>
        <v>1.1743568284648316</v>
      </c>
      <c r="F31">
        <f t="shared" si="3"/>
        <v>1.2434750851850864</v>
      </c>
      <c r="G31">
        <f t="shared" si="4"/>
        <v>0.94441524599588833</v>
      </c>
    </row>
    <row r="32" spans="1:11" x14ac:dyDescent="0.35">
      <c r="A32" s="2">
        <v>43554</v>
      </c>
      <c r="B32" s="5">
        <f t="shared" si="0"/>
        <v>1</v>
      </c>
      <c r="C32" s="3">
        <v>59700</v>
      </c>
      <c r="D32" s="4">
        <f t="shared" si="1"/>
        <v>64463.916666666672</v>
      </c>
      <c r="E32">
        <f t="shared" si="2"/>
        <v>0.92609948459538727</v>
      </c>
      <c r="F32">
        <f t="shared" si="3"/>
        <v>0.93838296859374026</v>
      </c>
      <c r="G32">
        <f t="shared" si="4"/>
        <v>0.98690994571570179</v>
      </c>
    </row>
    <row r="33" spans="4:4" x14ac:dyDescent="0.35">
      <c r="D33" s="4">
        <f>AVERAGE(AVERAGE(C31:C34),AVERAGE(B32:B35))</f>
        <v>33021.25</v>
      </c>
    </row>
  </sheetData>
  <pageMargins left="0.7" right="0.7" top="0.75" bottom="0.75" header="0.3" footer="0.3"/>
  <ignoredErrors>
    <ignoredError sqref="F4 F5:F32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D110-6A5F-4420-A1E0-6BDDE27F6CF1}">
  <dimension ref="A1:K33"/>
  <sheetViews>
    <sheetView workbookViewId="0">
      <selection sqref="A1:B32"/>
    </sheetView>
  </sheetViews>
  <sheetFormatPr defaultRowHeight="14.5" x14ac:dyDescent="0.35"/>
  <cols>
    <col min="3" max="3" width="15.6328125" customWidth="1"/>
    <col min="9" max="9" width="11" bestFit="1" customWidth="1"/>
    <col min="10" max="10" width="20" customWidth="1"/>
    <col min="11" max="11" width="52.54296875" customWidth="1"/>
  </cols>
  <sheetData>
    <row r="1" spans="1:11" x14ac:dyDescent="0.35">
      <c r="A1" s="1" t="s">
        <v>0</v>
      </c>
      <c r="B1" s="1" t="s">
        <v>1</v>
      </c>
      <c r="C1" t="s">
        <v>10</v>
      </c>
      <c r="H1" t="s">
        <v>11</v>
      </c>
      <c r="I1">
        <v>0.61618556368282495</v>
      </c>
      <c r="J1" t="s">
        <v>13</v>
      </c>
      <c r="K1" t="s">
        <v>15</v>
      </c>
    </row>
    <row r="2" spans="1:11" x14ac:dyDescent="0.35">
      <c r="A2" s="2">
        <v>40816</v>
      </c>
      <c r="B2" s="3">
        <v>10876</v>
      </c>
      <c r="C2" s="4">
        <f>SES!B2</f>
        <v>10876</v>
      </c>
      <c r="H2" t="s">
        <v>12</v>
      </c>
      <c r="I2" s="4">
        <f>SUMXMY2(B2:B32,C2:C32)/COUNT(A2:A32)</f>
        <v>43502670.703217052</v>
      </c>
      <c r="J2" t="s">
        <v>14</v>
      </c>
    </row>
    <row r="3" spans="1:11" x14ac:dyDescent="0.35">
      <c r="A3" s="2">
        <v>40908</v>
      </c>
      <c r="B3" s="3">
        <v>17431</v>
      </c>
      <c r="C3" s="4">
        <f>C2+$I$1*(B2-C2)</f>
        <v>10876</v>
      </c>
    </row>
    <row r="4" spans="1:11" x14ac:dyDescent="0.35">
      <c r="A4" s="2">
        <v>40999</v>
      </c>
      <c r="B4" s="3">
        <v>13185</v>
      </c>
      <c r="C4" s="4">
        <f t="shared" ref="C4:C33" si="0">C3+$I$1*(B3-C3)</f>
        <v>14915.096369940919</v>
      </c>
    </row>
    <row r="5" spans="1:11" x14ac:dyDescent="0.35">
      <c r="A5" s="2">
        <v>41090</v>
      </c>
      <c r="B5" s="3">
        <v>12834</v>
      </c>
      <c r="C5" s="4">
        <f t="shared" si="0"/>
        <v>13849.035963003265</v>
      </c>
    </row>
    <row r="6" spans="1:11" x14ac:dyDescent="0.35">
      <c r="A6" s="2">
        <v>41182</v>
      </c>
      <c r="B6" s="3">
        <v>13806</v>
      </c>
      <c r="C6" s="4">
        <f t="shared" si="0"/>
        <v>13223.58545598176</v>
      </c>
    </row>
    <row r="7" spans="1:11" x14ac:dyDescent="0.35">
      <c r="A7" s="2">
        <v>41274</v>
      </c>
      <c r="B7" s="3">
        <v>21268</v>
      </c>
      <c r="C7" s="4">
        <f t="shared" si="0"/>
        <v>13582.460890084714</v>
      </c>
    </row>
    <row r="8" spans="1:11" x14ac:dyDescent="0.35">
      <c r="A8" s="2">
        <v>41364</v>
      </c>
      <c r="B8" s="3">
        <v>16070</v>
      </c>
      <c r="C8" s="4">
        <f t="shared" si="0"/>
        <v>18318.17913873426</v>
      </c>
    </row>
    <row r="9" spans="1:11" x14ac:dyDescent="0.35">
      <c r="A9" s="2">
        <v>41455</v>
      </c>
      <c r="B9" s="3">
        <v>15704</v>
      </c>
      <c r="C9" s="4">
        <f t="shared" si="0"/>
        <v>16932.883608873322</v>
      </c>
    </row>
    <row r="10" spans="1:11" x14ac:dyDescent="0.35">
      <c r="A10" s="2">
        <v>41547</v>
      </c>
      <c r="B10" s="3">
        <v>17092</v>
      </c>
      <c r="C10" s="4">
        <f t="shared" si="0"/>
        <v>16175.66326963913</v>
      </c>
    </row>
    <row r="11" spans="1:11" x14ac:dyDescent="0.35">
      <c r="A11" s="2">
        <v>41639</v>
      </c>
      <c r="B11" s="3">
        <v>25587</v>
      </c>
      <c r="C11" s="4">
        <f t="shared" si="0"/>
        <v>16740.296734359821</v>
      </c>
    </row>
    <row r="12" spans="1:11" x14ac:dyDescent="0.35">
      <c r="A12" s="2">
        <v>41729</v>
      </c>
      <c r="B12" s="3">
        <v>19741</v>
      </c>
      <c r="C12" s="4">
        <f t="shared" si="0"/>
        <v>22191.507572833005</v>
      </c>
    </row>
    <row r="13" spans="1:11" x14ac:dyDescent="0.35">
      <c r="A13" s="2">
        <v>41820</v>
      </c>
      <c r="B13" s="3">
        <v>19340</v>
      </c>
      <c r="C13" s="4">
        <f t="shared" si="0"/>
        <v>20681.540182757868</v>
      </c>
    </row>
    <row r="14" spans="1:11" x14ac:dyDescent="0.35">
      <c r="A14" s="2">
        <v>41912</v>
      </c>
      <c r="B14" s="3">
        <v>20579</v>
      </c>
      <c r="C14" s="4">
        <f t="shared" si="0"/>
        <v>19854.902489042051</v>
      </c>
    </row>
    <row r="15" spans="1:11" x14ac:dyDescent="0.35">
      <c r="A15" s="2">
        <v>42004</v>
      </c>
      <c r="B15" s="3">
        <v>29328</v>
      </c>
      <c r="C15" s="4">
        <f t="shared" si="0"/>
        <v>20301.080921993005</v>
      </c>
    </row>
    <row r="16" spans="1:11" x14ac:dyDescent="0.35">
      <c r="A16" s="2">
        <v>42094</v>
      </c>
      <c r="B16" s="3">
        <v>22717</v>
      </c>
      <c r="C16" s="4">
        <f t="shared" si="0"/>
        <v>25863.338142393994</v>
      </c>
    </row>
    <row r="17" spans="1:3" x14ac:dyDescent="0.35">
      <c r="A17" s="2">
        <v>42185</v>
      </c>
      <c r="B17" s="3">
        <v>23185</v>
      </c>
      <c r="C17" s="4">
        <f t="shared" si="0"/>
        <v>23924.610000586177</v>
      </c>
    </row>
    <row r="18" spans="1:3" x14ac:dyDescent="0.35">
      <c r="A18" s="2">
        <v>42277</v>
      </c>
      <c r="B18" s="3">
        <v>25358</v>
      </c>
      <c r="C18" s="4">
        <f t="shared" si="0"/>
        <v>23468.87299546953</v>
      </c>
    </row>
    <row r="19" spans="1:3" x14ac:dyDescent="0.35">
      <c r="A19" s="2">
        <v>42369</v>
      </c>
      <c r="B19" s="3">
        <v>35747</v>
      </c>
      <c r="C19" s="4">
        <f t="shared" si="0"/>
        <v>24632.925783624585</v>
      </c>
    </row>
    <row r="20" spans="1:3" x14ac:dyDescent="0.35">
      <c r="A20" s="2">
        <v>42460</v>
      </c>
      <c r="B20" s="3">
        <v>29128</v>
      </c>
      <c r="C20" s="4">
        <f t="shared" si="0"/>
        <v>31481.257869454621</v>
      </c>
    </row>
    <row r="21" spans="1:3" x14ac:dyDescent="0.35">
      <c r="A21" s="2">
        <v>42551</v>
      </c>
      <c r="B21" s="3">
        <v>30404</v>
      </c>
      <c r="C21" s="4">
        <f t="shared" si="0"/>
        <v>30031.21434267368</v>
      </c>
    </row>
    <row r="22" spans="1:3" x14ac:dyDescent="0.35">
      <c r="A22" s="2">
        <v>42643</v>
      </c>
      <c r="B22" s="3">
        <v>32714</v>
      </c>
      <c r="C22" s="4">
        <f t="shared" si="0"/>
        <v>30260.919483066173</v>
      </c>
    </row>
    <row r="23" spans="1:3" x14ac:dyDescent="0.35">
      <c r="A23" s="2">
        <v>42735</v>
      </c>
      <c r="B23" s="3">
        <v>43741</v>
      </c>
      <c r="C23" s="4">
        <f t="shared" si="0"/>
        <v>31772.472284152398</v>
      </c>
    </row>
    <row r="24" spans="1:3" x14ac:dyDescent="0.35">
      <c r="A24" s="2">
        <v>42825</v>
      </c>
      <c r="B24" s="3">
        <v>35714</v>
      </c>
      <c r="C24" s="4">
        <f t="shared" si="0"/>
        <v>39147.306281195466</v>
      </c>
    </row>
    <row r="25" spans="1:3" x14ac:dyDescent="0.35">
      <c r="A25" s="2">
        <v>42916</v>
      </c>
      <c r="B25" s="3">
        <v>37955</v>
      </c>
      <c r="C25" s="4">
        <f t="shared" si="0"/>
        <v>37031.752515021253</v>
      </c>
    </row>
    <row r="26" spans="1:3" x14ac:dyDescent="0.35">
      <c r="A26" s="2">
        <v>43008</v>
      </c>
      <c r="B26" s="3">
        <v>43744</v>
      </c>
      <c r="C26" s="4">
        <f t="shared" si="0"/>
        <v>37600.644286971634</v>
      </c>
    </row>
    <row r="27" spans="1:3" x14ac:dyDescent="0.35">
      <c r="A27" s="2">
        <v>43100</v>
      </c>
      <c r="B27" s="3">
        <v>60453</v>
      </c>
      <c r="C27" s="4">
        <f t="shared" si="0"/>
        <v>41386.091389908121</v>
      </c>
    </row>
    <row r="28" spans="1:3" x14ac:dyDescent="0.35">
      <c r="A28" s="2">
        <v>43190</v>
      </c>
      <c r="B28" s="3">
        <v>51042</v>
      </c>
      <c r="C28" s="4">
        <f t="shared" si="0"/>
        <v>53134.845219506497</v>
      </c>
    </row>
    <row r="29" spans="1:3" x14ac:dyDescent="0.35">
      <c r="A29" s="2">
        <v>43281</v>
      </c>
      <c r="B29" s="3">
        <v>52886</v>
      </c>
      <c r="C29" s="4">
        <f t="shared" si="0"/>
        <v>51845.264208223984</v>
      </c>
    </row>
    <row r="30" spans="1:3" x14ac:dyDescent="0.35">
      <c r="A30" s="2">
        <v>43373</v>
      </c>
      <c r="B30" s="3">
        <v>56576</v>
      </c>
      <c r="C30" s="4">
        <f t="shared" si="0"/>
        <v>52486.550578724382</v>
      </c>
    </row>
    <row r="31" spans="1:3" x14ac:dyDescent="0.35">
      <c r="A31" s="2">
        <v>43465</v>
      </c>
      <c r="B31" s="3">
        <v>72383</v>
      </c>
      <c r="C31" s="4">
        <f t="shared" si="0"/>
        <v>55006.410275525501</v>
      </c>
    </row>
    <row r="32" spans="1:3" x14ac:dyDescent="0.35">
      <c r="A32" s="2">
        <v>43466</v>
      </c>
      <c r="B32" s="3">
        <v>59700</v>
      </c>
      <c r="C32" s="4">
        <f t="shared" si="0"/>
        <v>65713.614009786004</v>
      </c>
    </row>
    <row r="33" spans="1:3" x14ac:dyDescent="0.35">
      <c r="A33" s="7">
        <v>43281</v>
      </c>
      <c r="B33" s="6"/>
      <c r="C33" s="8">
        <f t="shared" si="0"/>
        <v>62008.111871395085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1FD8-3A54-493B-8EB6-D6D98BA7D6DF}">
  <dimension ref="A1:J36"/>
  <sheetViews>
    <sheetView workbookViewId="0">
      <selection activeCell="E2" activeCellId="1" sqref="A2:B32 E2:E32"/>
    </sheetView>
  </sheetViews>
  <sheetFormatPr defaultRowHeight="14.5" x14ac:dyDescent="0.35"/>
  <cols>
    <col min="3" max="3" width="10.08984375" bestFit="1" customWidth="1"/>
    <col min="4" max="4" width="11.7265625" customWidth="1"/>
    <col min="5" max="5" width="11.08984375" bestFit="1" customWidth="1"/>
    <col min="10" max="10" width="11.81640625" bestFit="1" customWidth="1"/>
  </cols>
  <sheetData>
    <row r="1" spans="1:10" x14ac:dyDescent="0.35">
      <c r="A1" s="1" t="s">
        <v>0</v>
      </c>
      <c r="B1" s="1" t="s">
        <v>1</v>
      </c>
      <c r="C1" t="s">
        <v>16</v>
      </c>
      <c r="D1" t="s">
        <v>17</v>
      </c>
      <c r="E1" t="s">
        <v>18</v>
      </c>
      <c r="I1" t="s">
        <v>19</v>
      </c>
      <c r="J1">
        <v>0.12771934813670724</v>
      </c>
    </row>
    <row r="2" spans="1:10" x14ac:dyDescent="0.35">
      <c r="A2" s="2">
        <v>40816</v>
      </c>
      <c r="B2" s="3">
        <v>10876</v>
      </c>
      <c r="C2" s="4">
        <f>B2</f>
        <v>10876</v>
      </c>
      <c r="D2">
        <f>0</f>
        <v>0</v>
      </c>
      <c r="I2" t="s">
        <v>20</v>
      </c>
      <c r="J2">
        <v>1</v>
      </c>
    </row>
    <row r="3" spans="1:10" x14ac:dyDescent="0.35">
      <c r="A3" s="2">
        <v>40908</v>
      </c>
      <c r="B3" s="3">
        <v>17431</v>
      </c>
      <c r="C3" s="9">
        <f>$J$1*B3+(1-$J$1)*(C2+D2)</f>
        <v>11713.200327036117</v>
      </c>
      <c r="D3" s="9">
        <f>$J$2*(C3-C2)+(1-$J$2)*D2</f>
        <v>837.20032703611651</v>
      </c>
      <c r="E3" s="9">
        <f>C2+D2</f>
        <v>10876</v>
      </c>
      <c r="I3" t="s">
        <v>12</v>
      </c>
      <c r="J3">
        <f>SUMXMY2(B3:B32,E3:E32)/COUNT(B3:B32)</f>
        <v>27923182.31825098</v>
      </c>
    </row>
    <row r="4" spans="1:10" x14ac:dyDescent="0.35">
      <c r="A4" s="2">
        <v>40999</v>
      </c>
      <c r="B4" s="3">
        <v>13185</v>
      </c>
      <c r="C4" s="9">
        <f>$J$1*B4+(1-$J$1)*(C3+D3)</f>
        <v>12631.451268862107</v>
      </c>
      <c r="D4" s="9">
        <f>$J$2*(C4-C3)+(1-$J$2)*D3</f>
        <v>918.25094182599059</v>
      </c>
      <c r="E4" s="9">
        <f t="shared" ref="E4:E32" si="0">C3+D3</f>
        <v>12550.400654072233</v>
      </c>
    </row>
    <row r="5" spans="1:10" x14ac:dyDescent="0.35">
      <c r="A5" s="2">
        <v>41090</v>
      </c>
      <c r="B5" s="3">
        <v>12834</v>
      </c>
      <c r="C5" s="9">
        <f t="shared" ref="C5:C32" si="1">$J$1*B5+(1-$J$1)*(C4+D4)</f>
        <v>13458.293190879014</v>
      </c>
      <c r="D5" s="9">
        <f t="shared" ref="D5:D32" si="2">$J$2*(C5-C4)+(1-$J$2)*D4</f>
        <v>826.84192201690712</v>
      </c>
      <c r="E5" s="9">
        <f t="shared" si="0"/>
        <v>13549.702210688098</v>
      </c>
    </row>
    <row r="6" spans="1:10" x14ac:dyDescent="0.35">
      <c r="A6" s="2">
        <v>41182</v>
      </c>
      <c r="B6" s="3">
        <v>13806</v>
      </c>
      <c r="C6" s="9">
        <f t="shared" si="1"/>
        <v>14223.940288607446</v>
      </c>
      <c r="D6" s="9">
        <f t="shared" si="2"/>
        <v>765.64709772843162</v>
      </c>
      <c r="E6" s="9">
        <f t="shared" si="0"/>
        <v>14285.135112895921</v>
      </c>
    </row>
    <row r="7" spans="1:10" x14ac:dyDescent="0.35">
      <c r="A7" s="2">
        <v>41274</v>
      </c>
      <c r="B7" s="3">
        <v>21268</v>
      </c>
      <c r="C7" s="9">
        <f t="shared" si="1"/>
        <v>15791.462152686339</v>
      </c>
      <c r="D7" s="9">
        <f t="shared" si="2"/>
        <v>1567.5218640788935</v>
      </c>
      <c r="E7" s="9">
        <f t="shared" si="0"/>
        <v>14989.587386335877</v>
      </c>
    </row>
    <row r="8" spans="1:10" x14ac:dyDescent="0.35">
      <c r="A8" s="2">
        <v>41364</v>
      </c>
      <c r="B8" s="3">
        <v>16070</v>
      </c>
      <c r="C8" s="9">
        <f t="shared" si="1"/>
        <v>17194.355818385342</v>
      </c>
      <c r="D8" s="9">
        <f t="shared" si="2"/>
        <v>1402.8936656990027</v>
      </c>
      <c r="E8" s="9">
        <f t="shared" si="0"/>
        <v>17358.984016765233</v>
      </c>
    </row>
    <row r="9" spans="1:10" x14ac:dyDescent="0.35">
      <c r="A9" s="2">
        <v>41455</v>
      </c>
      <c r="B9" s="3">
        <v>15704</v>
      </c>
      <c r="C9" s="9">
        <f t="shared" si="1"/>
        <v>18227.725545980225</v>
      </c>
      <c r="D9" s="9">
        <f t="shared" si="2"/>
        <v>1033.3697275948834</v>
      </c>
      <c r="E9" s="9">
        <f t="shared" si="0"/>
        <v>18597.249484084343</v>
      </c>
    </row>
    <row r="10" spans="1:10" x14ac:dyDescent="0.35">
      <c r="A10" s="2">
        <v>41547</v>
      </c>
      <c r="B10" s="3">
        <v>17092</v>
      </c>
      <c r="C10" s="9">
        <f t="shared" si="1"/>
        <v>18984.059839187681</v>
      </c>
      <c r="D10" s="9">
        <f t="shared" si="2"/>
        <v>756.33429320745563</v>
      </c>
      <c r="E10" s="9">
        <f t="shared" si="0"/>
        <v>19261.095273575109</v>
      </c>
    </row>
    <row r="11" spans="1:10" x14ac:dyDescent="0.35">
      <c r="A11" s="2">
        <v>41639</v>
      </c>
      <c r="B11" s="3">
        <v>25587</v>
      </c>
      <c r="C11" s="9">
        <f t="shared" si="1"/>
        <v>20487.118822617878</v>
      </c>
      <c r="D11" s="9">
        <f>$J$2*(C11-C10)+(1-$J$2)*D10</f>
        <v>1503.0589834301973</v>
      </c>
      <c r="E11" s="9">
        <f t="shared" si="0"/>
        <v>19740.394132395137</v>
      </c>
    </row>
    <row r="12" spans="1:10" x14ac:dyDescent="0.35">
      <c r="A12" s="2">
        <v>41729</v>
      </c>
      <c r="B12" s="3">
        <v>19741</v>
      </c>
      <c r="C12" s="9">
        <f t="shared" si="1"/>
        <v>21702.914282816066</v>
      </c>
      <c r="D12" s="9">
        <f t="shared" si="2"/>
        <v>1215.7954601981874</v>
      </c>
      <c r="E12" s="9">
        <f t="shared" si="0"/>
        <v>21990.177806048076</v>
      </c>
    </row>
    <row r="13" spans="1:10" x14ac:dyDescent="0.35">
      <c r="A13" s="2">
        <v>41820</v>
      </c>
      <c r="B13" s="3">
        <v>19340</v>
      </c>
      <c r="C13" s="9">
        <f t="shared" si="1"/>
        <v>22461.639267465991</v>
      </c>
      <c r="D13" s="9">
        <f t="shared" si="2"/>
        <v>758.72498464992532</v>
      </c>
      <c r="E13" s="9">
        <f t="shared" si="0"/>
        <v>22918.709743014253</v>
      </c>
    </row>
    <row r="14" spans="1:10" x14ac:dyDescent="0.35">
      <c r="A14" s="2">
        <v>41912</v>
      </c>
      <c r="B14" s="3">
        <v>20579</v>
      </c>
      <c r="C14" s="9">
        <f t="shared" si="1"/>
        <v>22883.010931644072</v>
      </c>
      <c r="D14" s="9">
        <f t="shared" si="2"/>
        <v>421.37166417808112</v>
      </c>
      <c r="E14" s="9">
        <f t="shared" si="0"/>
        <v>23220.364252115916</v>
      </c>
    </row>
    <row r="15" spans="1:10" x14ac:dyDescent="0.35">
      <c r="A15" s="2">
        <v>42004</v>
      </c>
      <c r="B15" s="3">
        <v>29328</v>
      </c>
      <c r="C15" s="9">
        <f t="shared" si="1"/>
        <v>24073.71508410867</v>
      </c>
      <c r="D15" s="9">
        <f t="shared" si="2"/>
        <v>1190.7041524645974</v>
      </c>
      <c r="E15" s="9">
        <f t="shared" si="0"/>
        <v>23304.382595822153</v>
      </c>
    </row>
    <row r="16" spans="1:10" x14ac:dyDescent="0.35">
      <c r="A16" s="2">
        <v>42094</v>
      </c>
      <c r="B16" s="3">
        <v>22717</v>
      </c>
      <c r="C16" s="9">
        <f t="shared" si="1"/>
        <v>24939.06451224722</v>
      </c>
      <c r="D16" s="9">
        <f t="shared" si="2"/>
        <v>865.34942813855014</v>
      </c>
      <c r="E16" s="9">
        <f t="shared" si="0"/>
        <v>25264.419236573267</v>
      </c>
    </row>
    <row r="17" spans="1:5" x14ac:dyDescent="0.35">
      <c r="A17" s="2">
        <v>42185</v>
      </c>
      <c r="B17" s="3">
        <v>23185</v>
      </c>
      <c r="C17" s="9">
        <f t="shared" si="1"/>
        <v>25469.864099419494</v>
      </c>
      <c r="D17" s="9">
        <f t="shared" si="2"/>
        <v>530.79958717227419</v>
      </c>
      <c r="E17" s="9">
        <f t="shared" si="0"/>
        <v>25804.41394038577</v>
      </c>
    </row>
    <row r="18" spans="1:5" x14ac:dyDescent="0.35">
      <c r="A18" s="2">
        <v>42277</v>
      </c>
      <c r="B18" s="3">
        <v>25358</v>
      </c>
      <c r="C18" s="9">
        <f t="shared" si="1"/>
        <v>25918.583099469135</v>
      </c>
      <c r="D18" s="9">
        <f t="shared" si="2"/>
        <v>448.71900004964118</v>
      </c>
      <c r="E18" s="9">
        <f t="shared" si="0"/>
        <v>26000.663686591768</v>
      </c>
    </row>
    <row r="19" spans="1:5" x14ac:dyDescent="0.35">
      <c r="A19" s="2">
        <v>42369</v>
      </c>
      <c r="B19" s="3">
        <v>35747</v>
      </c>
      <c r="C19" s="9">
        <f t="shared" si="1"/>
        <v>27565.27100108748</v>
      </c>
      <c r="D19" s="9">
        <f t="shared" si="2"/>
        <v>1646.6879016183448</v>
      </c>
      <c r="E19" s="9">
        <f t="shared" si="0"/>
        <v>26367.302099518776</v>
      </c>
    </row>
    <row r="20" spans="1:5" x14ac:dyDescent="0.35">
      <c r="A20" s="2">
        <v>42460</v>
      </c>
      <c r="B20" s="3">
        <v>29128</v>
      </c>
      <c r="C20" s="9">
        <f t="shared" si="1"/>
        <v>29201.235726381961</v>
      </c>
      <c r="D20" s="9">
        <f t="shared" si="2"/>
        <v>1635.9647252944815</v>
      </c>
      <c r="E20" s="9">
        <f t="shared" si="0"/>
        <v>29211.958902705825</v>
      </c>
    </row>
    <row r="21" spans="1:5" x14ac:dyDescent="0.35">
      <c r="A21" s="2">
        <v>42551</v>
      </c>
      <c r="B21" s="3">
        <v>30404</v>
      </c>
      <c r="C21" s="9">
        <f t="shared" si="1"/>
        <v>30781.872372375801</v>
      </c>
      <c r="D21" s="9">
        <f t="shared" si="2"/>
        <v>1580.6366459938399</v>
      </c>
      <c r="E21" s="9">
        <f t="shared" si="0"/>
        <v>30837.200451676443</v>
      </c>
    </row>
    <row r="22" spans="1:5" x14ac:dyDescent="0.35">
      <c r="A22" s="2">
        <v>42643</v>
      </c>
      <c r="B22" s="3">
        <v>32714</v>
      </c>
      <c r="C22" s="9">
        <f t="shared" si="1"/>
        <v>32407.401217419399</v>
      </c>
      <c r="D22" s="9">
        <f t="shared" si="2"/>
        <v>1625.5288450435983</v>
      </c>
      <c r="E22" s="9">
        <f t="shared" si="0"/>
        <v>32362.509018369641</v>
      </c>
    </row>
    <row r="23" spans="1:5" x14ac:dyDescent="0.35">
      <c r="A23" s="2">
        <v>42735</v>
      </c>
      <c r="B23" s="3">
        <v>43741</v>
      </c>
      <c r="C23" s="9">
        <f t="shared" si="1"/>
        <v>35272.838426550785</v>
      </c>
      <c r="D23" s="9">
        <f t="shared" si="2"/>
        <v>2865.4372091313853</v>
      </c>
      <c r="E23" s="9">
        <f t="shared" si="0"/>
        <v>34032.930062462998</v>
      </c>
    </row>
    <row r="24" spans="1:5" x14ac:dyDescent="0.35">
      <c r="A24" s="2">
        <v>42825</v>
      </c>
      <c r="B24" s="3">
        <v>35714</v>
      </c>
      <c r="C24" s="9">
        <f t="shared" si="1"/>
        <v>37828.648731789144</v>
      </c>
      <c r="D24" s="9">
        <f t="shared" si="2"/>
        <v>2555.8103052383594</v>
      </c>
      <c r="E24" s="9">
        <f t="shared" si="0"/>
        <v>38138.27563568217</v>
      </c>
    </row>
    <row r="25" spans="1:5" x14ac:dyDescent="0.35">
      <c r="A25" s="2">
        <v>42916</v>
      </c>
      <c r="B25" s="3">
        <v>37955</v>
      </c>
      <c r="C25" s="9">
        <f t="shared" si="1"/>
        <v>40074.170112493513</v>
      </c>
      <c r="D25" s="9">
        <f t="shared" si="2"/>
        <v>2245.5213807043692</v>
      </c>
      <c r="E25" s="9">
        <f t="shared" si="0"/>
        <v>40384.459037027504</v>
      </c>
    </row>
    <row r="26" spans="1:5" x14ac:dyDescent="0.35">
      <c r="A26" s="2">
        <v>43008</v>
      </c>
      <c r="B26" s="3">
        <v>43744</v>
      </c>
      <c r="C26" s="9">
        <f t="shared" si="1"/>
        <v>42501.603247232211</v>
      </c>
      <c r="D26" s="9">
        <f t="shared" si="2"/>
        <v>2427.4331347386978</v>
      </c>
      <c r="E26" s="9">
        <f t="shared" si="0"/>
        <v>42319.691493197883</v>
      </c>
    </row>
    <row r="27" spans="1:5" x14ac:dyDescent="0.35">
      <c r="A27" s="2">
        <v>43100</v>
      </c>
      <c r="B27" s="3">
        <v>60453</v>
      </c>
      <c r="C27" s="9">
        <f t="shared" si="1"/>
        <v>46911.746895763543</v>
      </c>
      <c r="D27" s="9">
        <f t="shared" si="2"/>
        <v>4410.1436485313316</v>
      </c>
      <c r="E27" s="9">
        <f t="shared" si="0"/>
        <v>44929.036381970909</v>
      </c>
    </row>
    <row r="28" spans="1:5" x14ac:dyDescent="0.35">
      <c r="A28" s="2">
        <v>43190</v>
      </c>
      <c r="B28" s="3">
        <v>51042</v>
      </c>
      <c r="C28" s="9">
        <f t="shared" si="1"/>
        <v>51286.143106427902</v>
      </c>
      <c r="D28" s="9">
        <f t="shared" si="2"/>
        <v>4374.3962106643594</v>
      </c>
      <c r="E28" s="9">
        <f t="shared" si="0"/>
        <v>51321.890544294874</v>
      </c>
    </row>
    <row r="29" spans="1:5" x14ac:dyDescent="0.35">
      <c r="A29" s="2">
        <v>43281</v>
      </c>
      <c r="B29" s="3">
        <v>52886</v>
      </c>
      <c r="C29" s="9">
        <f t="shared" si="1"/>
        <v>55306.17696413357</v>
      </c>
      <c r="D29" s="9">
        <f t="shared" si="2"/>
        <v>4020.0338577056682</v>
      </c>
      <c r="E29" s="9">
        <f t="shared" si="0"/>
        <v>55660.539317092262</v>
      </c>
    </row>
    <row r="30" spans="1:5" x14ac:dyDescent="0.35">
      <c r="A30" s="2">
        <v>43373</v>
      </c>
      <c r="B30" s="3">
        <v>56576</v>
      </c>
      <c r="C30" s="9">
        <f t="shared" si="1"/>
        <v>58974.95568843541</v>
      </c>
      <c r="D30" s="9">
        <f t="shared" si="2"/>
        <v>3668.7787243018392</v>
      </c>
      <c r="E30" s="9">
        <f t="shared" si="0"/>
        <v>59326.210821839239</v>
      </c>
    </row>
    <row r="31" spans="1:5" x14ac:dyDescent="0.35">
      <c r="A31" s="2">
        <v>43465</v>
      </c>
      <c r="B31" s="3">
        <v>72383</v>
      </c>
      <c r="C31" s="9">
        <f t="shared" si="1"/>
        <v>63887.627064872715</v>
      </c>
      <c r="D31" s="9">
        <f t="shared" si="2"/>
        <v>4912.6713764373053</v>
      </c>
      <c r="E31" s="9">
        <f t="shared" si="0"/>
        <v>62643.734412737249</v>
      </c>
    </row>
    <row r="32" spans="1:5" x14ac:dyDescent="0.35">
      <c r="A32" s="2">
        <v>43466</v>
      </c>
      <c r="B32" s="3">
        <v>59700</v>
      </c>
      <c r="C32" s="9">
        <f t="shared" si="1"/>
        <v>67638.014256536408</v>
      </c>
      <c r="D32" s="9">
        <f t="shared" si="2"/>
        <v>3750.3871916636926</v>
      </c>
      <c r="E32" s="9">
        <f t="shared" si="0"/>
        <v>68800.29844131002</v>
      </c>
    </row>
    <row r="33" spans="1:5" x14ac:dyDescent="0.35">
      <c r="A33" s="7"/>
      <c r="B33" s="6"/>
      <c r="E33" s="9">
        <f>$C$32+$D$32*(ROW(A33)-ROW($A$32))</f>
        <v>71388.401448200108</v>
      </c>
    </row>
    <row r="34" spans="1:5" x14ac:dyDescent="0.35">
      <c r="E34" s="9">
        <f t="shared" ref="E34:E35" si="3">$C$32+$D$32*(ROW(A34)-ROW($A$32))</f>
        <v>75138.788639863793</v>
      </c>
    </row>
    <row r="35" spans="1:5" x14ac:dyDescent="0.35">
      <c r="E35" s="9">
        <f t="shared" si="3"/>
        <v>78889.175831527478</v>
      </c>
    </row>
    <row r="36" spans="1:5" x14ac:dyDescent="0.35">
      <c r="E36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0942-A9F6-46C1-B963-3B96E27B6AD7}">
  <dimension ref="A1:J36"/>
  <sheetViews>
    <sheetView workbookViewId="0">
      <selection activeCell="G3" sqref="G3"/>
    </sheetView>
  </sheetViews>
  <sheetFormatPr defaultRowHeight="14.5" x14ac:dyDescent="0.35"/>
  <cols>
    <col min="4" max="4" width="11.36328125" customWidth="1"/>
    <col min="5" max="5" width="12.6328125" customWidth="1"/>
    <col min="6" max="6" width="10.08984375" bestFit="1" customWidth="1"/>
  </cols>
  <sheetData>
    <row r="1" spans="1:10" x14ac:dyDescent="0.35">
      <c r="A1" s="1" t="s">
        <v>0</v>
      </c>
      <c r="B1" s="1" t="s">
        <v>1</v>
      </c>
      <c r="C1" t="s">
        <v>21</v>
      </c>
      <c r="D1" t="s">
        <v>17</v>
      </c>
      <c r="E1" t="s">
        <v>8</v>
      </c>
      <c r="F1" t="s">
        <v>22</v>
      </c>
      <c r="I1" t="s">
        <v>19</v>
      </c>
      <c r="J1">
        <v>0.50869372671890589</v>
      </c>
    </row>
    <row r="2" spans="1:10" x14ac:dyDescent="0.35">
      <c r="A2" s="2">
        <v>40816</v>
      </c>
      <c r="B2" s="3">
        <v>10876</v>
      </c>
      <c r="E2" s="4">
        <f>B2-$C$5</f>
        <v>-2705.5</v>
      </c>
      <c r="I2" t="s">
        <v>20</v>
      </c>
      <c r="J2">
        <v>0.34709611987451244</v>
      </c>
    </row>
    <row r="3" spans="1:10" x14ac:dyDescent="0.35">
      <c r="A3" s="2">
        <v>40908</v>
      </c>
      <c r="B3" s="3">
        <v>17431</v>
      </c>
      <c r="E3" s="4">
        <f t="shared" ref="E3:E5" si="0">B3-$C$5</f>
        <v>3849.5</v>
      </c>
      <c r="I3" t="s">
        <v>24</v>
      </c>
      <c r="J3">
        <v>1</v>
      </c>
    </row>
    <row r="4" spans="1:10" x14ac:dyDescent="0.35">
      <c r="A4" s="2">
        <v>40999</v>
      </c>
      <c r="B4" s="3">
        <v>13185</v>
      </c>
      <c r="E4" s="4">
        <f t="shared" si="0"/>
        <v>-396.5</v>
      </c>
      <c r="I4" t="s">
        <v>12</v>
      </c>
      <c r="J4">
        <f>SUMXMY2(B6:B32,F6:F32)/COUNT(B6:B32)</f>
        <v>4312936.0177823249</v>
      </c>
    </row>
    <row r="5" spans="1:10" x14ac:dyDescent="0.35">
      <c r="A5" s="2">
        <v>41090</v>
      </c>
      <c r="B5" s="3">
        <v>12834</v>
      </c>
      <c r="C5" s="4">
        <f>AVERAGE(B2:B5)</f>
        <v>13581.5</v>
      </c>
      <c r="D5">
        <v>0</v>
      </c>
      <c r="E5" s="4">
        <f t="shared" si="0"/>
        <v>-747.5</v>
      </c>
      <c r="I5" t="s">
        <v>23</v>
      </c>
    </row>
    <row r="6" spans="1:10" x14ac:dyDescent="0.35">
      <c r="A6" s="2">
        <v>41182</v>
      </c>
      <c r="B6" s="3">
        <v>13806</v>
      </c>
      <c r="C6" s="8">
        <f>$J$1*(B6-E2)+(1-$J$1)*(C5+D5)</f>
        <v>15071.972619286393</v>
      </c>
      <c r="D6" s="10">
        <f>$J$2*(C6-C5)+(1-$J$2)*D5</f>
        <v>517.33726293350833</v>
      </c>
      <c r="E6" s="10">
        <f>$J$3*(B6-C6)+(1-$J$3)*E2</f>
        <v>-1265.9726192863927</v>
      </c>
      <c r="F6" s="4">
        <f>C5+D5+E2</f>
        <v>10876</v>
      </c>
    </row>
    <row r="7" spans="1:10" x14ac:dyDescent="0.35">
      <c r="A7" s="2">
        <v>41274</v>
      </c>
      <c r="B7" s="3">
        <v>21268</v>
      </c>
      <c r="C7" s="8">
        <f t="shared" ref="C7:C32" si="1">$J$1*(B7-E3)+(1-$J$1)*(C6+D6)</f>
        <v>16519.807420110854</v>
      </c>
      <c r="D7" s="10">
        <f t="shared" ref="D7:D32" si="2">$J$2*(C7-C6)+(1-$J$2)*D6</f>
        <v>840.30934788824516</v>
      </c>
      <c r="E7" s="10">
        <f t="shared" ref="E7:E32" si="3">$J$3*(B7-C7)+(1-$J$3)*E3</f>
        <v>4748.1925798891461</v>
      </c>
      <c r="F7" s="4">
        <f t="shared" ref="F7:F32" si="4">C6+D6+E3</f>
        <v>19438.809882219903</v>
      </c>
    </row>
    <row r="8" spans="1:10" x14ac:dyDescent="0.35">
      <c r="A8" s="2">
        <v>41364</v>
      </c>
      <c r="B8" s="3">
        <v>16070</v>
      </c>
      <c r="C8" s="8">
        <f t="shared" si="1"/>
        <v>16905.539524027132</v>
      </c>
      <c r="D8" s="10">
        <f t="shared" si="2"/>
        <v>682.52735032232579</v>
      </c>
      <c r="E8" s="10">
        <f t="shared" si="3"/>
        <v>-835.53952402713185</v>
      </c>
      <c r="F8" s="4">
        <f t="shared" si="4"/>
        <v>16963.616767999098</v>
      </c>
    </row>
    <row r="9" spans="1:10" x14ac:dyDescent="0.35">
      <c r="A9" s="2">
        <v>41455</v>
      </c>
      <c r="B9" s="3">
        <v>15704</v>
      </c>
      <c r="C9" s="8">
        <f t="shared" si="1"/>
        <v>17009.902435371376</v>
      </c>
      <c r="D9" s="10">
        <f t="shared" si="2"/>
        <v>481.84871690360927</v>
      </c>
      <c r="E9" s="10">
        <f t="shared" si="3"/>
        <v>-1305.9024353713758</v>
      </c>
      <c r="F9" s="4">
        <f t="shared" si="4"/>
        <v>16840.566874349457</v>
      </c>
    </row>
    <row r="10" spans="1:10" x14ac:dyDescent="0.35">
      <c r="A10" s="2">
        <v>41547</v>
      </c>
      <c r="B10" s="3">
        <v>17092</v>
      </c>
      <c r="C10" s="8">
        <f t="shared" si="1"/>
        <v>17932.392578492934</v>
      </c>
      <c r="D10" s="10">
        <f t="shared" si="2"/>
        <v>634.79364619983073</v>
      </c>
      <c r="E10" s="10">
        <f t="shared" si="3"/>
        <v>-840.39257849293426</v>
      </c>
      <c r="F10" s="4">
        <f t="shared" si="4"/>
        <v>16225.778532988592</v>
      </c>
    </row>
    <row r="11" spans="1:10" x14ac:dyDescent="0.35">
      <c r="A11" s="2">
        <v>41639</v>
      </c>
      <c r="B11" s="3">
        <v>25587</v>
      </c>
      <c r="C11" s="8">
        <f t="shared" si="1"/>
        <v>19722.745676283652</v>
      </c>
      <c r="D11" s="10">
        <f t="shared" si="2"/>
        <v>1035.8838481313471</v>
      </c>
      <c r="E11" s="10">
        <f>$J$3*(B11-C11)+(1-$J$3)*E7</f>
        <v>5864.2543237163482</v>
      </c>
      <c r="F11" s="4">
        <f t="shared" si="4"/>
        <v>23315.378804581913</v>
      </c>
    </row>
    <row r="12" spans="1:10" x14ac:dyDescent="0.35">
      <c r="A12" s="2">
        <v>41729</v>
      </c>
      <c r="B12" s="3">
        <v>19741</v>
      </c>
      <c r="C12" s="8">
        <f t="shared" si="1"/>
        <v>20666.001483519449</v>
      </c>
      <c r="D12" s="10">
        <f t="shared" si="2"/>
        <v>1003.7330145449241</v>
      </c>
      <c r="E12" s="10">
        <f t="shared" si="3"/>
        <v>-925.00148351944881</v>
      </c>
      <c r="F12" s="4">
        <f t="shared" si="4"/>
        <v>19923.090000387867</v>
      </c>
    </row>
    <row r="13" spans="1:10" x14ac:dyDescent="0.35">
      <c r="A13" s="2">
        <v>41820</v>
      </c>
      <c r="B13" s="3">
        <v>19340</v>
      </c>
      <c r="C13" s="8">
        <f t="shared" si="1"/>
        <v>21148.917550558766</v>
      </c>
      <c r="D13" s="10">
        <f t="shared" si="2"/>
        <v>822.95947290084052</v>
      </c>
      <c r="E13" s="10">
        <f t="shared" si="3"/>
        <v>-1808.9175505587664</v>
      </c>
      <c r="F13" s="4">
        <f t="shared" si="4"/>
        <v>20363.832062692996</v>
      </c>
    </row>
    <row r="14" spans="1:10" x14ac:dyDescent="0.35">
      <c r="A14" s="2">
        <v>41912</v>
      </c>
      <c r="B14" s="3">
        <v>20579</v>
      </c>
      <c r="C14" s="8">
        <f t="shared" si="1"/>
        <v>21690.831652195287</v>
      </c>
      <c r="D14" s="10">
        <f t="shared" si="2"/>
        <v>725.4097150263035</v>
      </c>
      <c r="E14" s="10">
        <f t="shared" si="3"/>
        <v>-1111.8316521952875</v>
      </c>
      <c r="F14" s="4">
        <f t="shared" si="4"/>
        <v>21131.484444966674</v>
      </c>
    </row>
    <row r="15" spans="1:10" x14ac:dyDescent="0.35">
      <c r="A15" s="2">
        <v>42004</v>
      </c>
      <c r="B15" s="3">
        <v>29328</v>
      </c>
      <c r="C15" s="8">
        <f t="shared" si="1"/>
        <v>22949.100237952483</v>
      </c>
      <c r="D15" s="10">
        <f t="shared" si="2"/>
        <v>910.36296149771078</v>
      </c>
      <c r="E15" s="10">
        <f t="shared" si="3"/>
        <v>6378.8997620475166</v>
      </c>
      <c r="F15" s="4">
        <f t="shared" si="4"/>
        <v>28280.49569093794</v>
      </c>
    </row>
    <row r="16" spans="1:10" x14ac:dyDescent="0.35">
      <c r="A16" s="2">
        <v>42094</v>
      </c>
      <c r="B16" s="3">
        <v>22717</v>
      </c>
      <c r="C16" s="8">
        <f t="shared" si="1"/>
        <v>23748.841788754697</v>
      </c>
      <c r="D16" s="10">
        <f t="shared" si="2"/>
        <v>871.96669907025876</v>
      </c>
      <c r="E16" s="10">
        <f t="shared" si="3"/>
        <v>-1031.8417887546966</v>
      </c>
      <c r="F16" s="4">
        <f t="shared" si="4"/>
        <v>22934.461715930745</v>
      </c>
    </row>
    <row r="17" spans="1:6" x14ac:dyDescent="0.35">
      <c r="A17" s="2">
        <v>42185</v>
      </c>
      <c r="B17" s="3">
        <v>23185</v>
      </c>
      <c r="C17" s="8">
        <f t="shared" si="1"/>
        <v>24810.606727419618</v>
      </c>
      <c r="D17" s="10">
        <f t="shared" si="2"/>
        <v>937.84493159257909</v>
      </c>
      <c r="E17" s="10">
        <f t="shared" si="3"/>
        <v>-1625.6067274196175</v>
      </c>
      <c r="F17" s="4">
        <f t="shared" si="4"/>
        <v>22811.890937266187</v>
      </c>
    </row>
    <row r="18" spans="1:6" x14ac:dyDescent="0.35">
      <c r="A18" s="2">
        <v>42277</v>
      </c>
      <c r="B18" s="3">
        <v>25358</v>
      </c>
      <c r="C18" s="8">
        <f t="shared" si="1"/>
        <v>26115.41313612496</v>
      </c>
      <c r="D18" s="10">
        <f t="shared" si="2"/>
        <v>1065.2158364418392</v>
      </c>
      <c r="E18" s="10">
        <f t="shared" si="3"/>
        <v>-757.41313612496015</v>
      </c>
      <c r="F18" s="4">
        <f t="shared" si="4"/>
        <v>24636.620006816909</v>
      </c>
    </row>
    <row r="19" spans="1:6" x14ac:dyDescent="0.35">
      <c r="A19" s="2">
        <v>42369</v>
      </c>
      <c r="B19" s="3">
        <v>35747</v>
      </c>
      <c r="C19" s="8">
        <f t="shared" si="1"/>
        <v>28293.381882646365</v>
      </c>
      <c r="D19" s="10">
        <f t="shared" si="2"/>
        <v>1451.4480539095287</v>
      </c>
      <c r="E19" s="10">
        <f t="shared" si="3"/>
        <v>7453.6181173536352</v>
      </c>
      <c r="F19" s="4">
        <f t="shared" si="4"/>
        <v>33559.528734614316</v>
      </c>
    </row>
    <row r="20" spans="1:6" x14ac:dyDescent="0.35">
      <c r="A20" s="2">
        <v>42460</v>
      </c>
      <c r="B20" s="3">
        <v>29128</v>
      </c>
      <c r="C20" s="8">
        <f t="shared" si="1"/>
        <v>29955.943862283417</v>
      </c>
      <c r="D20" s="10">
        <f t="shared" si="2"/>
        <v>1524.7248783810282</v>
      </c>
      <c r="E20" s="10">
        <f t="shared" si="3"/>
        <v>-827.94386228341682</v>
      </c>
      <c r="F20" s="4">
        <f t="shared" si="4"/>
        <v>28712.988147801196</v>
      </c>
    </row>
    <row r="21" spans="1:6" x14ac:dyDescent="0.35">
      <c r="A21" s="2">
        <v>42551</v>
      </c>
      <c r="B21" s="3">
        <v>30404</v>
      </c>
      <c r="C21" s="8">
        <f t="shared" si="1"/>
        <v>31759.910050884508</v>
      </c>
      <c r="D21" s="10">
        <f t="shared" si="2"/>
        <v>1621.6484536670871</v>
      </c>
      <c r="E21" s="10">
        <f t="shared" si="3"/>
        <v>-1355.9100508845077</v>
      </c>
      <c r="F21" s="4">
        <f t="shared" si="4"/>
        <v>29855.062013244828</v>
      </c>
    </row>
    <row r="22" spans="1:6" x14ac:dyDescent="0.35">
      <c r="A22" s="2">
        <v>42643</v>
      </c>
      <c r="B22" s="3">
        <v>32714</v>
      </c>
      <c r="C22" s="8">
        <f t="shared" si="1"/>
        <v>33427.266991949611</v>
      </c>
      <c r="D22" s="10">
        <f t="shared" si="2"/>
        <v>1637.5136922882716</v>
      </c>
      <c r="E22" s="10">
        <f t="shared" si="3"/>
        <v>-713.26699194961111</v>
      </c>
      <c r="F22" s="4">
        <f t="shared" si="4"/>
        <v>32624.145368426638</v>
      </c>
    </row>
    <row r="23" spans="1:6" x14ac:dyDescent="0.35">
      <c r="A23" s="2">
        <v>42735</v>
      </c>
      <c r="B23" s="3">
        <v>43741</v>
      </c>
      <c r="C23" s="8">
        <f t="shared" si="1"/>
        <v>35686.710244147296</v>
      </c>
      <c r="D23" s="10">
        <f t="shared" si="2"/>
        <v>1853.3830293680921</v>
      </c>
      <c r="E23" s="10">
        <f t="shared" si="3"/>
        <v>8054.2897558527038</v>
      </c>
      <c r="F23" s="4">
        <f t="shared" si="4"/>
        <v>42518.398801591524</v>
      </c>
    </row>
    <row r="24" spans="1:6" x14ac:dyDescent="0.35">
      <c r="A24" s="2">
        <v>42825</v>
      </c>
      <c r="B24" s="3">
        <v>35714</v>
      </c>
      <c r="C24" s="8">
        <f t="shared" si="1"/>
        <v>37032.340929693513</v>
      </c>
      <c r="D24" s="10">
        <f t="shared" si="2"/>
        <v>1677.1441609703302</v>
      </c>
      <c r="E24" s="10">
        <f t="shared" si="3"/>
        <v>-1318.3409296935133</v>
      </c>
      <c r="F24" s="4">
        <f t="shared" si="4"/>
        <v>36712.149411231978</v>
      </c>
    </row>
    <row r="25" spans="1:6" x14ac:dyDescent="0.35">
      <c r="A25" s="2">
        <v>42916</v>
      </c>
      <c r="B25" s="3">
        <v>37955</v>
      </c>
      <c r="C25" s="8">
        <f t="shared" si="1"/>
        <v>39015.426195020264</v>
      </c>
      <c r="D25" s="10">
        <f t="shared" si="2"/>
        <v>1783.335131202567</v>
      </c>
      <c r="E25" s="10">
        <f t="shared" si="3"/>
        <v>-1060.4261950202635</v>
      </c>
      <c r="F25" s="4">
        <f t="shared" si="4"/>
        <v>37353.575039779338</v>
      </c>
    </row>
    <row r="26" spans="1:6" x14ac:dyDescent="0.35">
      <c r="A26" s="2">
        <v>43008</v>
      </c>
      <c r="B26" s="3">
        <v>43744</v>
      </c>
      <c r="C26" s="8">
        <f t="shared" si="1"/>
        <v>42659.82020754362</v>
      </c>
      <c r="D26" s="10">
        <f t="shared" si="2"/>
        <v>2429.301447767014</v>
      </c>
      <c r="E26" s="10">
        <f t="shared" si="3"/>
        <v>1084.1797924563798</v>
      </c>
      <c r="F26" s="4">
        <f t="shared" si="4"/>
        <v>40085.494334273222</v>
      </c>
    </row>
    <row r="27" spans="1:6" x14ac:dyDescent="0.35">
      <c r="A27" s="2">
        <v>43100</v>
      </c>
      <c r="B27" s="3">
        <v>60453</v>
      </c>
      <c r="C27" s="8">
        <f t="shared" si="1"/>
        <v>48807.463515347947</v>
      </c>
      <c r="D27" s="10">
        <f t="shared" si="2"/>
        <v>3719.9234797529425</v>
      </c>
      <c r="E27" s="10">
        <f t="shared" si="3"/>
        <v>11645.536484652053</v>
      </c>
      <c r="F27" s="4">
        <f t="shared" si="4"/>
        <v>53143.411411163339</v>
      </c>
    </row>
    <row r="28" spans="1:6" x14ac:dyDescent="0.35">
      <c r="A28" s="2">
        <v>43190</v>
      </c>
      <c r="B28" s="3">
        <v>51042</v>
      </c>
      <c r="C28" s="8">
        <f t="shared" si="1"/>
        <v>52442.411709555076</v>
      </c>
      <c r="D28" s="10">
        <f t="shared" si="2"/>
        <v>3690.4288878547623</v>
      </c>
      <c r="E28" s="10">
        <f t="shared" si="3"/>
        <v>-1400.4117095550755</v>
      </c>
      <c r="F28" s="4">
        <f t="shared" si="4"/>
        <v>51209.046065407376</v>
      </c>
    </row>
    <row r="29" spans="1:6" x14ac:dyDescent="0.35">
      <c r="A29" s="2">
        <v>43281</v>
      </c>
      <c r="B29" s="3">
        <v>52886</v>
      </c>
      <c r="C29" s="8">
        <f t="shared" si="1"/>
        <v>55020.625306906397</v>
      </c>
      <c r="D29" s="10">
        <f t="shared" si="2"/>
        <v>3304.3832760559144</v>
      </c>
      <c r="E29" s="10">
        <f t="shared" si="3"/>
        <v>-2134.6253069063969</v>
      </c>
      <c r="F29" s="4">
        <f t="shared" si="4"/>
        <v>55072.414402389571</v>
      </c>
    </row>
    <row r="30" spans="1:6" x14ac:dyDescent="0.35">
      <c r="A30" s="2">
        <v>43373</v>
      </c>
      <c r="B30" s="3">
        <v>56576</v>
      </c>
      <c r="C30" s="8">
        <f t="shared" si="1"/>
        <v>56883.783429773895</v>
      </c>
      <c r="D30" s="10">
        <f t="shared" si="2"/>
        <v>2804.1396175186655</v>
      </c>
      <c r="E30" s="10">
        <f t="shared" si="3"/>
        <v>-307.78342977389548</v>
      </c>
      <c r="F30" s="4">
        <f t="shared" si="4"/>
        <v>59409.188375418693</v>
      </c>
    </row>
    <row r="31" spans="1:6" x14ac:dyDescent="0.35">
      <c r="A31" s="2">
        <v>43465</v>
      </c>
      <c r="B31" s="3">
        <v>72383</v>
      </c>
      <c r="C31" s="8">
        <f t="shared" si="1"/>
        <v>60221.817699329957</v>
      </c>
      <c r="D31" s="10">
        <f t="shared" si="2"/>
        <v>2989.452379662599</v>
      </c>
      <c r="E31" s="10">
        <f t="shared" si="3"/>
        <v>12161.182300670043</v>
      </c>
      <c r="F31" s="4">
        <f t="shared" si="4"/>
        <v>71333.459531944623</v>
      </c>
    </row>
    <row r="32" spans="1:6" x14ac:dyDescent="0.35">
      <c r="A32" s="2">
        <v>43466</v>
      </c>
      <c r="B32" s="3">
        <v>59700</v>
      </c>
      <c r="C32" s="8">
        <f t="shared" si="1"/>
        <v>62137.489668467613</v>
      </c>
      <c r="D32" s="10">
        <f t="shared" si="2"/>
        <v>2616.7473655721305</v>
      </c>
      <c r="E32" s="10">
        <f>$J$3*(B32-C32)+(1-$J$3)*E28</f>
        <v>-2437.4896684676132</v>
      </c>
      <c r="F32" s="4">
        <f t="shared" si="4"/>
        <v>61810.858369437483</v>
      </c>
    </row>
    <row r="33" spans="6:6" x14ac:dyDescent="0.35">
      <c r="F33" s="9">
        <f>$C$32+$D$32*(ROW()-ROW($F$32))+E29</f>
        <v>62619.61172713335</v>
      </c>
    </row>
    <row r="34" spans="6:6" x14ac:dyDescent="0.35">
      <c r="F34" s="9">
        <f t="shared" ref="F34:F36" si="5">$C$32+$D$32*(ROW()-ROW($F$32))+E30</f>
        <v>67063.200969837984</v>
      </c>
    </row>
    <row r="35" spans="6:6" x14ac:dyDescent="0.35">
      <c r="F35" s="9">
        <f t="shared" si="5"/>
        <v>82148.914065854042</v>
      </c>
    </row>
    <row r="36" spans="6:6" x14ac:dyDescent="0.35">
      <c r="F36" s="9">
        <f t="shared" si="5"/>
        <v>70166.989462288533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4820-55B5-463A-8946-ECF5A450715D}">
  <dimension ref="A1:J36"/>
  <sheetViews>
    <sheetView workbookViewId="0">
      <selection activeCell="C5" sqref="C5"/>
    </sheetView>
  </sheetViews>
  <sheetFormatPr defaultRowHeight="14.5" x14ac:dyDescent="0.35"/>
  <cols>
    <col min="4" max="4" width="11.7265625" customWidth="1"/>
    <col min="5" max="5" width="12.36328125" customWidth="1"/>
    <col min="6" max="6" width="10.08984375" bestFit="1" customWidth="1"/>
    <col min="10" max="10" width="10.81640625" bestFit="1" customWidth="1"/>
  </cols>
  <sheetData>
    <row r="1" spans="1:10" x14ac:dyDescent="0.35">
      <c r="A1" s="1" t="s">
        <v>0</v>
      </c>
      <c r="B1" s="1" t="s">
        <v>1</v>
      </c>
      <c r="C1" t="s">
        <v>21</v>
      </c>
      <c r="D1" t="s">
        <v>17</v>
      </c>
      <c r="E1" t="s">
        <v>8</v>
      </c>
      <c r="F1" t="s">
        <v>22</v>
      </c>
      <c r="I1" t="s">
        <v>19</v>
      </c>
      <c r="J1">
        <v>0.25</v>
      </c>
    </row>
    <row r="2" spans="1:10" x14ac:dyDescent="0.35">
      <c r="A2" s="2">
        <v>40816</v>
      </c>
      <c r="B2" s="3">
        <v>10876</v>
      </c>
      <c r="E2" s="11">
        <f>B2/$C$5</f>
        <v>0.80079519935205978</v>
      </c>
      <c r="I2" t="s">
        <v>20</v>
      </c>
      <c r="J2">
        <v>0.25</v>
      </c>
    </row>
    <row r="3" spans="1:10" x14ac:dyDescent="0.35">
      <c r="A3" s="2">
        <v>40908</v>
      </c>
      <c r="B3" s="3">
        <v>17431</v>
      </c>
      <c r="E3" s="11">
        <f t="shared" ref="E3:E5" si="0">B3/$C$5</f>
        <v>1.2834370283105696</v>
      </c>
      <c r="I3" t="s">
        <v>24</v>
      </c>
      <c r="J3">
        <v>0.25</v>
      </c>
    </row>
    <row r="4" spans="1:10" x14ac:dyDescent="0.35">
      <c r="A4" s="2">
        <v>40999</v>
      </c>
      <c r="B4" s="3">
        <v>13185</v>
      </c>
      <c r="E4" s="11">
        <f t="shared" si="0"/>
        <v>0.97080587563965692</v>
      </c>
      <c r="I4" t="s">
        <v>12</v>
      </c>
      <c r="J4">
        <f>SUMXMY2(B6:B32,F6:F32)/COUNT(B6:B32)</f>
        <v>31676601.795466334</v>
      </c>
    </row>
    <row r="5" spans="1:10" x14ac:dyDescent="0.35">
      <c r="A5" s="2">
        <v>41090</v>
      </c>
      <c r="B5" s="3">
        <v>12834</v>
      </c>
      <c r="C5" s="4">
        <f>AVERAGE(B2:B5)</f>
        <v>13581.5</v>
      </c>
      <c r="D5">
        <v>0</v>
      </c>
      <c r="E5" s="11">
        <f t="shared" si="0"/>
        <v>0.9449618966977138</v>
      </c>
      <c r="I5" t="s">
        <v>23</v>
      </c>
    </row>
    <row r="6" spans="1:10" x14ac:dyDescent="0.35">
      <c r="A6" s="2">
        <v>41182</v>
      </c>
      <c r="B6" s="3">
        <v>13806</v>
      </c>
      <c r="C6" s="8">
        <f>$J$1*(B6/E2)+(1-$J$1)*(C5+D5)</f>
        <v>14496.215773262229</v>
      </c>
      <c r="D6" s="10">
        <f>$J$2*(C6-C5)+(1-$J$2)*D5</f>
        <v>228.67894331555726</v>
      </c>
      <c r="E6" s="10">
        <f>$J$3*(B6/C6)+(1-$J$3)*E2</f>
        <v>0.83869302100378373</v>
      </c>
      <c r="F6" s="4">
        <f>C5+D5+E2</f>
        <v>13582.300795199351</v>
      </c>
    </row>
    <row r="7" spans="1:10" x14ac:dyDescent="0.35">
      <c r="A7" s="2">
        <v>41274</v>
      </c>
      <c r="B7" s="3">
        <v>21268</v>
      </c>
      <c r="C7" s="8">
        <f t="shared" ref="C7:C10" si="1">$J$1*(B7/E3)+(1-$J$1)*(C6+D6)</f>
        <v>15186.453178446478</v>
      </c>
      <c r="D7" s="10">
        <f t="shared" ref="D7:D10" si="2">$J$2*(C7-C6)+(1-$J$2)*D6</f>
        <v>344.06855878273018</v>
      </c>
      <c r="E7" s="10">
        <f t="shared" ref="E7:E32" si="3">$J$3*(B7/C7)+(1-$J$3)*E3</f>
        <v>1.3126924383986749</v>
      </c>
      <c r="F7" s="4">
        <f t="shared" ref="F7:F32" si="4">C6+D6+E3</f>
        <v>14726.178153606097</v>
      </c>
    </row>
    <row r="8" spans="1:10" x14ac:dyDescent="0.35">
      <c r="A8" s="2">
        <v>41364</v>
      </c>
      <c r="B8" s="3">
        <v>16070</v>
      </c>
      <c r="C8" s="8">
        <f t="shared" si="1"/>
        <v>15786.205770119479</v>
      </c>
      <c r="D8" s="10">
        <f t="shared" si="2"/>
        <v>407.98956700529789</v>
      </c>
      <c r="E8" s="10">
        <f t="shared" si="3"/>
        <v>0.9825987455533518</v>
      </c>
      <c r="F8" s="4">
        <f t="shared" si="4"/>
        <v>15531.492543104849</v>
      </c>
    </row>
    <row r="9" spans="1:10" x14ac:dyDescent="0.35">
      <c r="A9" s="2">
        <v>41455</v>
      </c>
      <c r="B9" s="3">
        <v>15704</v>
      </c>
      <c r="C9" s="8">
        <f t="shared" si="1"/>
        <v>16300.311377395552</v>
      </c>
      <c r="D9" s="10">
        <f t="shared" si="2"/>
        <v>434.51857707299166</v>
      </c>
      <c r="E9" s="10">
        <f t="shared" si="3"/>
        <v>0.94957571721144562</v>
      </c>
      <c r="F9" s="4">
        <f t="shared" si="4"/>
        <v>16195.140299021474</v>
      </c>
    </row>
    <row r="10" spans="1:10" x14ac:dyDescent="0.35">
      <c r="A10" s="2">
        <v>41547</v>
      </c>
      <c r="B10" s="3">
        <v>17092</v>
      </c>
      <c r="C10" s="8">
        <f t="shared" si="1"/>
        <v>17645.954416266221</v>
      </c>
      <c r="D10" s="10">
        <f t="shared" si="2"/>
        <v>662.29969252241085</v>
      </c>
      <c r="E10" s="10">
        <f t="shared" si="3"/>
        <v>0.87117158702588293</v>
      </c>
      <c r="F10" s="4">
        <f t="shared" si="4"/>
        <v>16735.668647489547</v>
      </c>
    </row>
    <row r="11" spans="1:10" x14ac:dyDescent="0.35">
      <c r="A11" s="2">
        <v>41639</v>
      </c>
      <c r="B11" s="3">
        <v>25587</v>
      </c>
      <c r="C11" s="8">
        <f t="shared" ref="C11:C32" si="5">$J$1*(B11/E7)+(1-$J$1)*(C10+D10)</f>
        <v>18604.190389378327</v>
      </c>
      <c r="D11" s="10">
        <f t="shared" ref="D11:D32" si="6">$J$2*(C11-C10)+(1-$J$2)*D10</f>
        <v>736.28376266983491</v>
      </c>
      <c r="E11" s="10">
        <f t="shared" si="3"/>
        <v>1.3283531568838924</v>
      </c>
      <c r="F11" s="4">
        <f t="shared" si="4"/>
        <v>18309.566801227029</v>
      </c>
    </row>
    <row r="12" spans="1:10" x14ac:dyDescent="0.35">
      <c r="A12" s="2">
        <v>41729</v>
      </c>
      <c r="B12" s="3">
        <v>19741</v>
      </c>
      <c r="C12" s="8">
        <f t="shared" si="5"/>
        <v>19528.00603195489</v>
      </c>
      <c r="D12" s="10">
        <f t="shared" si="6"/>
        <v>783.16673264651695</v>
      </c>
      <c r="E12" s="10">
        <f t="shared" si="3"/>
        <v>0.98967583484933841</v>
      </c>
      <c r="F12" s="4">
        <f t="shared" si="4"/>
        <v>19341.456750793717</v>
      </c>
    </row>
    <row r="13" spans="1:10" x14ac:dyDescent="0.35">
      <c r="A13" s="2">
        <v>41820</v>
      </c>
      <c r="B13" s="3">
        <v>19340</v>
      </c>
      <c r="C13" s="8">
        <f t="shared" si="5"/>
        <v>20325.127300739845</v>
      </c>
      <c r="D13" s="10">
        <f t="shared" si="6"/>
        <v>786.65536668112645</v>
      </c>
      <c r="E13" s="10">
        <f t="shared" si="3"/>
        <v>0.95006467683021989</v>
      </c>
      <c r="F13" s="4">
        <f t="shared" si="4"/>
        <v>20312.12234031862</v>
      </c>
    </row>
    <row r="14" spans="1:10" x14ac:dyDescent="0.35">
      <c r="A14" s="2">
        <v>41912</v>
      </c>
      <c r="B14" s="3">
        <v>20579</v>
      </c>
      <c r="C14" s="8">
        <f t="shared" si="5"/>
        <v>21739.390024354998</v>
      </c>
      <c r="D14" s="10">
        <f t="shared" si="6"/>
        <v>943.55720591463307</v>
      </c>
      <c r="E14" s="10">
        <f t="shared" si="3"/>
        <v>0.8900343643355314</v>
      </c>
      <c r="F14" s="4">
        <f t="shared" si="4"/>
        <v>21112.653839007999</v>
      </c>
    </row>
    <row r="15" spans="1:10" x14ac:dyDescent="0.35">
      <c r="A15" s="2">
        <v>42004</v>
      </c>
      <c r="B15" s="3">
        <v>29328</v>
      </c>
      <c r="C15" s="8">
        <f t="shared" si="5"/>
        <v>22531.826920772448</v>
      </c>
      <c r="D15" s="10">
        <f t="shared" si="6"/>
        <v>905.77712854033734</v>
      </c>
      <c r="E15" s="10">
        <f t="shared" si="3"/>
        <v>1.3216712373186579</v>
      </c>
      <c r="F15" s="4">
        <f t="shared" si="4"/>
        <v>22684.275583426515</v>
      </c>
    </row>
    <row r="16" spans="1:10" x14ac:dyDescent="0.35">
      <c r="A16" s="2">
        <v>42094</v>
      </c>
      <c r="B16" s="3">
        <v>22717</v>
      </c>
      <c r="C16" s="8">
        <f t="shared" si="5"/>
        <v>23316.698208855254</v>
      </c>
      <c r="D16" s="10">
        <f t="shared" si="6"/>
        <v>875.55066842595454</v>
      </c>
      <c r="E16" s="10">
        <f t="shared" si="3"/>
        <v>0.98582695407553145</v>
      </c>
      <c r="F16" s="4">
        <f t="shared" si="4"/>
        <v>23438.593725147632</v>
      </c>
    </row>
    <row r="17" spans="1:6" x14ac:dyDescent="0.35">
      <c r="A17" s="2">
        <v>42185</v>
      </c>
      <c r="B17" s="3">
        <v>23185</v>
      </c>
      <c r="C17" s="8">
        <f t="shared" si="5"/>
        <v>24245.087092801317</v>
      </c>
      <c r="D17" s="10">
        <f t="shared" si="6"/>
        <v>888.76022230598176</v>
      </c>
      <c r="E17" s="10">
        <f t="shared" si="3"/>
        <v>0.95161756016160104</v>
      </c>
      <c r="F17" s="4">
        <f t="shared" si="4"/>
        <v>24193.198941958042</v>
      </c>
    </row>
    <row r="18" spans="1:6" x14ac:dyDescent="0.35">
      <c r="A18" s="2">
        <v>42277</v>
      </c>
      <c r="B18" s="3">
        <v>25358</v>
      </c>
      <c r="C18" s="8">
        <f t="shared" si="5"/>
        <v>25973.144172994049</v>
      </c>
      <c r="D18" s="10">
        <f t="shared" si="6"/>
        <v>1098.5844367776692</v>
      </c>
      <c r="E18" s="10">
        <f t="shared" si="3"/>
        <v>0.91160480957377343</v>
      </c>
      <c r="F18" s="4">
        <f t="shared" si="4"/>
        <v>25134.737349471634</v>
      </c>
    </row>
    <row r="19" spans="1:6" x14ac:dyDescent="0.35">
      <c r="A19" s="2">
        <v>42369</v>
      </c>
      <c r="B19" s="3">
        <v>35747</v>
      </c>
      <c r="C19" s="8">
        <f t="shared" si="5"/>
        <v>27065.500690319772</v>
      </c>
      <c r="D19" s="10">
        <f t="shared" si="6"/>
        <v>1097.0274569146827</v>
      </c>
      <c r="E19" s="10">
        <f t="shared" si="3"/>
        <v>1.3214431444938985</v>
      </c>
      <c r="F19" s="4">
        <f t="shared" si="4"/>
        <v>27073.050281009037</v>
      </c>
    </row>
    <row r="20" spans="1:6" x14ac:dyDescent="0.35">
      <c r="A20" s="2">
        <v>42460</v>
      </c>
      <c r="B20" s="3">
        <v>29128</v>
      </c>
      <c r="C20" s="8">
        <f t="shared" si="5"/>
        <v>28508.588034292708</v>
      </c>
      <c r="D20" s="10">
        <f t="shared" si="6"/>
        <v>1183.5424286792463</v>
      </c>
      <c r="E20" s="10">
        <f t="shared" si="3"/>
        <v>0.99480201706293681</v>
      </c>
      <c r="F20" s="4">
        <f t="shared" si="4"/>
        <v>28163.513974188529</v>
      </c>
    </row>
    <row r="21" spans="1:6" x14ac:dyDescent="0.35">
      <c r="A21" s="2">
        <v>42551</v>
      </c>
      <c r="B21" s="3">
        <v>30404</v>
      </c>
      <c r="C21" s="8">
        <f t="shared" si="5"/>
        <v>30256.550284223951</v>
      </c>
      <c r="D21" s="10">
        <f t="shared" si="6"/>
        <v>1324.6473839922455</v>
      </c>
      <c r="E21" s="10">
        <f t="shared" si="3"/>
        <v>0.96493149899867459</v>
      </c>
      <c r="F21" s="4">
        <f t="shared" si="4"/>
        <v>29693.082080532116</v>
      </c>
    </row>
    <row r="22" spans="1:6" x14ac:dyDescent="0.35">
      <c r="A22" s="2">
        <v>42643</v>
      </c>
      <c r="B22" s="3">
        <v>32714</v>
      </c>
      <c r="C22" s="8">
        <f t="shared" si="5"/>
        <v>32657.439333557173</v>
      </c>
      <c r="D22" s="10">
        <f t="shared" si="6"/>
        <v>1593.7078003274896</v>
      </c>
      <c r="E22" s="10">
        <f t="shared" si="3"/>
        <v>0.93413659172839214</v>
      </c>
      <c r="F22" s="4">
        <f t="shared" si="4"/>
        <v>31582.109273025773</v>
      </c>
    </row>
    <row r="23" spans="1:6" x14ac:dyDescent="0.35">
      <c r="A23" s="2">
        <v>42735</v>
      </c>
      <c r="B23" s="3">
        <v>43741</v>
      </c>
      <c r="C23" s="8">
        <f t="shared" si="5"/>
        <v>33963.593413269264</v>
      </c>
      <c r="D23" s="10">
        <f t="shared" si="6"/>
        <v>1521.81937017364</v>
      </c>
      <c r="E23" s="10">
        <f t="shared" si="3"/>
        <v>1.3130521177813259</v>
      </c>
      <c r="F23" s="4">
        <f t="shared" si="4"/>
        <v>34252.468577029154</v>
      </c>
    </row>
    <row r="24" spans="1:6" x14ac:dyDescent="0.35">
      <c r="A24" s="2">
        <v>42825</v>
      </c>
      <c r="B24" s="3">
        <v>35714</v>
      </c>
      <c r="C24" s="8">
        <f t="shared" si="5"/>
        <v>35589.212278125153</v>
      </c>
      <c r="D24" s="10">
        <f t="shared" si="6"/>
        <v>1547.7692438442023</v>
      </c>
      <c r="E24" s="10">
        <f t="shared" si="3"/>
        <v>0.99697809669641657</v>
      </c>
      <c r="F24" s="4">
        <f t="shared" si="4"/>
        <v>35486.407585459965</v>
      </c>
    </row>
    <row r="25" spans="1:6" x14ac:dyDescent="0.35">
      <c r="A25" s="2">
        <v>42916</v>
      </c>
      <c r="B25" s="3">
        <v>37955</v>
      </c>
      <c r="C25" s="8">
        <f t="shared" si="5"/>
        <v>37686.33573880246</v>
      </c>
      <c r="D25" s="10">
        <f t="shared" si="6"/>
        <v>1685.1077980524783</v>
      </c>
      <c r="E25" s="10">
        <f t="shared" si="3"/>
        <v>0.97548086346071661</v>
      </c>
      <c r="F25" s="4">
        <f t="shared" si="4"/>
        <v>37137.946453468358</v>
      </c>
    </row>
    <row r="26" spans="1:6" x14ac:dyDescent="0.35">
      <c r="A26" s="2">
        <v>43008</v>
      </c>
      <c r="B26" s="3">
        <v>43744</v>
      </c>
      <c r="C26" s="8">
        <f t="shared" si="5"/>
        <v>41235.650009638324</v>
      </c>
      <c r="D26" s="10">
        <f t="shared" si="6"/>
        <v>2151.1594162483248</v>
      </c>
      <c r="E26" s="10">
        <f t="shared" si="3"/>
        <v>0.96580985528232244</v>
      </c>
      <c r="F26" s="4">
        <f t="shared" si="4"/>
        <v>39372.377673446666</v>
      </c>
    </row>
    <row r="27" spans="1:6" x14ac:dyDescent="0.35">
      <c r="A27" s="2">
        <v>43100</v>
      </c>
      <c r="B27" s="3">
        <v>60453</v>
      </c>
      <c r="C27" s="8">
        <f t="shared" si="5"/>
        <v>44050.122395795916</v>
      </c>
      <c r="D27" s="10">
        <f t="shared" si="6"/>
        <v>2316.9876587256413</v>
      </c>
      <c r="E27" s="10">
        <f t="shared" si="3"/>
        <v>1.3278812110821139</v>
      </c>
      <c r="F27" s="4">
        <f t="shared" si="4"/>
        <v>43388.122478004429</v>
      </c>
    </row>
    <row r="28" spans="1:6" x14ac:dyDescent="0.35">
      <c r="A28" s="2">
        <v>43190</v>
      </c>
      <c r="B28" s="3">
        <v>51042</v>
      </c>
      <c r="C28" s="8">
        <f t="shared" si="5"/>
        <v>47574.510418803584</v>
      </c>
      <c r="D28" s="10">
        <f t="shared" si="6"/>
        <v>2618.8377497961483</v>
      </c>
      <c r="E28" s="10">
        <f t="shared" si="3"/>
        <v>1.0159549349213772</v>
      </c>
      <c r="F28" s="4">
        <f t="shared" si="4"/>
        <v>46368.107032618253</v>
      </c>
    </row>
    <row r="29" spans="1:6" x14ac:dyDescent="0.35">
      <c r="A29" s="2">
        <v>43281</v>
      </c>
      <c r="B29" s="3">
        <v>52886</v>
      </c>
      <c r="C29" s="8">
        <f t="shared" si="5"/>
        <v>51198.839289817392</v>
      </c>
      <c r="D29" s="10">
        <f t="shared" si="6"/>
        <v>2870.2105301005631</v>
      </c>
      <c r="E29" s="10">
        <f t="shared" si="3"/>
        <v>0.98984892376344158</v>
      </c>
      <c r="F29" s="4">
        <f t="shared" si="4"/>
        <v>50194.323649463193</v>
      </c>
    </row>
    <row r="30" spans="1:6" x14ac:dyDescent="0.35">
      <c r="A30" s="2">
        <v>43373</v>
      </c>
      <c r="B30" s="3">
        <v>56576</v>
      </c>
      <c r="C30" s="8">
        <f t="shared" si="5"/>
        <v>55196.4919334847</v>
      </c>
      <c r="D30" s="10">
        <f t="shared" si="6"/>
        <v>3152.0710584922494</v>
      </c>
      <c r="E30" s="10">
        <f t="shared" si="3"/>
        <v>0.98060556058532344</v>
      </c>
      <c r="F30" s="4">
        <f t="shared" si="4"/>
        <v>54070.015629773239</v>
      </c>
    </row>
    <row r="31" spans="1:6" x14ac:dyDescent="0.35">
      <c r="A31" s="2">
        <v>43465</v>
      </c>
      <c r="B31" s="3">
        <v>72383</v>
      </c>
      <c r="C31" s="8">
        <f t="shared" si="5"/>
        <v>57388.958991229447</v>
      </c>
      <c r="D31" s="10">
        <f t="shared" si="6"/>
        <v>2912.1700583053739</v>
      </c>
      <c r="E31" s="10">
        <f t="shared" si="3"/>
        <v>1.3112285289494769</v>
      </c>
      <c r="F31" s="4">
        <f t="shared" si="4"/>
        <v>58349.890873188029</v>
      </c>
    </row>
    <row r="32" spans="1:6" x14ac:dyDescent="0.35">
      <c r="A32" s="2">
        <v>43466</v>
      </c>
      <c r="B32" s="3">
        <v>59700</v>
      </c>
      <c r="C32" s="8">
        <f t="shared" si="5"/>
        <v>59916.459024941978</v>
      </c>
      <c r="D32" s="10">
        <f t="shared" si="6"/>
        <v>2816.0025521571633</v>
      </c>
      <c r="E32" s="10">
        <f t="shared" si="3"/>
        <v>1.0110630310585496</v>
      </c>
      <c r="F32" s="4">
        <f t="shared" si="4"/>
        <v>60302.145004469741</v>
      </c>
    </row>
    <row r="33" spans="6:6" x14ac:dyDescent="0.35">
      <c r="F33" s="9"/>
    </row>
    <row r="34" spans="6:6" x14ac:dyDescent="0.35">
      <c r="F34" s="9"/>
    </row>
    <row r="35" spans="6:6" x14ac:dyDescent="0.35">
      <c r="F35" s="9"/>
    </row>
    <row r="36" spans="6:6" x14ac:dyDescent="0.35">
      <c r="F36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AB08-A1F8-4796-93DD-A0D4EB78D740}">
  <dimension ref="A1:I33"/>
  <sheetViews>
    <sheetView tabSelected="1" workbookViewId="0">
      <selection activeCell="F33" sqref="F33"/>
    </sheetView>
  </sheetViews>
  <sheetFormatPr defaultRowHeight="14.5" x14ac:dyDescent="0.35"/>
  <cols>
    <col min="4" max="4" width="18.08984375" customWidth="1"/>
    <col min="9" max="9" width="9.7265625" bestFit="1" customWidth="1"/>
  </cols>
  <sheetData>
    <row r="1" spans="1:9" x14ac:dyDescent="0.35">
      <c r="A1" s="18" t="s">
        <v>0</v>
      </c>
      <c r="B1" s="18" t="s">
        <v>1</v>
      </c>
      <c r="C1" s="19" t="s">
        <v>62</v>
      </c>
      <c r="D1" s="19" t="s">
        <v>63</v>
      </c>
      <c r="E1" s="19" t="s">
        <v>64</v>
      </c>
      <c r="F1" s="19" t="s">
        <v>65</v>
      </c>
      <c r="G1" s="19"/>
      <c r="H1" s="19" t="s">
        <v>66</v>
      </c>
      <c r="I1" s="19">
        <v>0.50869372700000004</v>
      </c>
    </row>
    <row r="2" spans="1:9" x14ac:dyDescent="0.35">
      <c r="A2" s="20">
        <v>45180</v>
      </c>
      <c r="B2" s="22">
        <v>10876</v>
      </c>
      <c r="C2" s="19"/>
      <c r="D2" s="19"/>
      <c r="E2" s="23">
        <f>B2/$C$5</f>
        <v>0.80079519935205978</v>
      </c>
      <c r="F2" s="19"/>
      <c r="G2" s="19"/>
      <c r="H2" s="19" t="s">
        <v>67</v>
      </c>
      <c r="I2" s="19">
        <v>0.34709612000000001</v>
      </c>
    </row>
    <row r="3" spans="1:9" x14ac:dyDescent="0.35">
      <c r="A3" s="20">
        <v>45271</v>
      </c>
      <c r="B3" s="22">
        <v>17431</v>
      </c>
      <c r="C3" s="19"/>
      <c r="D3" s="19"/>
      <c r="E3" s="23">
        <f t="shared" ref="E3:E5" si="0">B3/$C$5</f>
        <v>1.2834370283105696</v>
      </c>
      <c r="F3" s="19"/>
      <c r="G3" s="19"/>
      <c r="H3" s="19" t="s">
        <v>68</v>
      </c>
      <c r="I3" s="19">
        <v>1</v>
      </c>
    </row>
    <row r="4" spans="1:9" x14ac:dyDescent="0.35">
      <c r="A4" s="20">
        <v>44997</v>
      </c>
      <c r="B4" s="22">
        <v>13185</v>
      </c>
      <c r="C4" s="19"/>
      <c r="D4" s="19"/>
      <c r="E4" s="23">
        <f t="shared" si="0"/>
        <v>0.97080587563965692</v>
      </c>
      <c r="F4" s="19"/>
      <c r="G4" s="19"/>
      <c r="H4" s="19" t="s">
        <v>12</v>
      </c>
      <c r="I4" s="22">
        <f>SUMXMY2(B6:B32,F6:F32)/COUNT(A6:A32)</f>
        <v>3232111.875942566</v>
      </c>
    </row>
    <row r="5" spans="1:9" ht="15.5" customHeight="1" x14ac:dyDescent="0.35">
      <c r="A5" s="20">
        <v>45089</v>
      </c>
      <c r="B5" s="22">
        <v>12834</v>
      </c>
      <c r="C5" s="22">
        <f>AVERAGE(B2:B5)</f>
        <v>13581.5</v>
      </c>
      <c r="D5" s="19">
        <v>0</v>
      </c>
      <c r="E5" s="23">
        <f t="shared" si="0"/>
        <v>0.9449618966977138</v>
      </c>
      <c r="F5" s="19"/>
      <c r="G5" s="19"/>
      <c r="H5" s="19"/>
      <c r="I5" s="19"/>
    </row>
    <row r="6" spans="1:9" ht="16" customHeight="1" x14ac:dyDescent="0.35">
      <c r="A6" s="20">
        <v>45181</v>
      </c>
      <c r="B6" s="22">
        <v>13806</v>
      </c>
      <c r="C6" s="22">
        <f>$I$1*(B6/E2)+(1-$I$1)*(C5+D5)</f>
        <v>15442.740703385802</v>
      </c>
      <c r="D6" s="24">
        <f>$I$2*(C6-C5)+(1-$I$2)*D5</f>
        <v>646.02942653128264</v>
      </c>
      <c r="E6" s="25">
        <f>$I$3*(B6/C6)+(1-$I$3)*E2</f>
        <v>0.89401229128797399</v>
      </c>
      <c r="F6" s="22">
        <f>(C5+D5)*E2</f>
        <v>10876</v>
      </c>
      <c r="G6" s="19"/>
      <c r="H6" s="19"/>
      <c r="I6" s="19"/>
    </row>
    <row r="7" spans="1:9" x14ac:dyDescent="0.35">
      <c r="A7" s="20">
        <v>45272</v>
      </c>
      <c r="B7" s="22">
        <v>21268</v>
      </c>
      <c r="C7" s="22">
        <f t="shared" ref="C7:C32" si="1">$I$1*(B7/E3)+(1-$I$1)*(C6+D6)</f>
        <v>16334.142839527336</v>
      </c>
      <c r="D7" s="24">
        <f t="shared" ref="D7:D32" si="2">$I$2*(C7-C6)+(1-$I$2)*D6</f>
        <v>731.19734199088771</v>
      </c>
      <c r="E7" s="25">
        <f t="shared" ref="E7:E31" si="3">$I$3*(B7/C7)+(1-$I$3)*E3</f>
        <v>1.3020579169011011</v>
      </c>
      <c r="F7" s="22">
        <f t="shared" ref="F7:F32" si="4">(C6+D6)*E3</f>
        <v>20648.923324712639</v>
      </c>
      <c r="G7" s="19"/>
      <c r="H7" s="19"/>
      <c r="I7" s="19"/>
    </row>
    <row r="8" spans="1:9" x14ac:dyDescent="0.35">
      <c r="A8" s="20">
        <v>44998</v>
      </c>
      <c r="B8" s="22">
        <v>16070</v>
      </c>
      <c r="C8" s="22">
        <f t="shared" si="1"/>
        <v>16804.847121325871</v>
      </c>
      <c r="D8" s="24">
        <f t="shared" si="2"/>
        <v>640.78121151119558</v>
      </c>
      <c r="E8" s="25">
        <f t="shared" si="3"/>
        <v>0.95627171636727792</v>
      </c>
      <c r="F8" s="22">
        <f t="shared" si="4"/>
        <v>16567.13251800742</v>
      </c>
      <c r="G8" s="19"/>
      <c r="H8" s="19"/>
      <c r="I8" s="19"/>
    </row>
    <row r="9" spans="1:9" x14ac:dyDescent="0.35">
      <c r="A9" s="20">
        <v>45090</v>
      </c>
      <c r="B9" s="22">
        <v>15704</v>
      </c>
      <c r="C9" s="22">
        <f t="shared" si="1"/>
        <v>17024.9544742367</v>
      </c>
      <c r="D9" s="24">
        <f t="shared" si="2"/>
        <v>494.76694740557969</v>
      </c>
      <c r="E9" s="25">
        <f t="shared" si="3"/>
        <v>0.9224106897768416</v>
      </c>
      <c r="F9" s="22">
        <f t="shared" si="4"/>
        <v>16485.45403848109</v>
      </c>
      <c r="G9" s="19"/>
      <c r="H9" s="19"/>
      <c r="I9" s="19"/>
    </row>
    <row r="10" spans="1:9" x14ac:dyDescent="0.35">
      <c r="A10" s="20">
        <v>45182</v>
      </c>
      <c r="B10" s="22">
        <v>17092</v>
      </c>
      <c r="C10" s="22">
        <f t="shared" si="1"/>
        <v>18332.911054299311</v>
      </c>
      <c r="D10" s="24">
        <f t="shared" si="2"/>
        <v>777.0219137250607</v>
      </c>
      <c r="E10" s="25">
        <f t="shared" si="3"/>
        <v>0.93231238341669143</v>
      </c>
      <c r="F10" s="22">
        <f t="shared" si="4"/>
        <v>15662.846290889416</v>
      </c>
      <c r="G10" s="19"/>
      <c r="H10" s="19"/>
      <c r="I10" s="19"/>
    </row>
    <row r="11" spans="1:9" x14ac:dyDescent="0.35">
      <c r="A11" s="20">
        <v>45273</v>
      </c>
      <c r="B11" s="22">
        <v>25587</v>
      </c>
      <c r="C11" s="22">
        <f t="shared" si="1"/>
        <v>19385.271902178327</v>
      </c>
      <c r="D11" s="24">
        <f t="shared" si="2"/>
        <v>872.5909894548339</v>
      </c>
      <c r="E11" s="25">
        <f t="shared" si="3"/>
        <v>1.3199195827180936</v>
      </c>
      <c r="F11" s="22">
        <f t="shared" si="4"/>
        <v>24882.23951246549</v>
      </c>
      <c r="G11" s="19"/>
      <c r="H11" s="19"/>
      <c r="I11" s="19"/>
    </row>
    <row r="12" spans="1:9" x14ac:dyDescent="0.35">
      <c r="A12" s="20">
        <v>44999</v>
      </c>
      <c r="B12" s="22">
        <v>19741</v>
      </c>
      <c r="C12" s="22">
        <f t="shared" si="1"/>
        <v>20454.143026312457</v>
      </c>
      <c r="D12" s="24">
        <f t="shared" si="2"/>
        <v>940.71906263509493</v>
      </c>
      <c r="E12" s="25">
        <f t="shared" si="3"/>
        <v>0.96513454387235575</v>
      </c>
      <c r="F12" s="22">
        <f t="shared" si="4"/>
        <v>19372.021317315033</v>
      </c>
      <c r="G12" s="19"/>
      <c r="H12" s="19"/>
      <c r="I12" s="19"/>
    </row>
    <row r="13" spans="1:9" x14ac:dyDescent="0.35">
      <c r="A13" s="20">
        <v>45091</v>
      </c>
      <c r="B13" s="22">
        <v>19340</v>
      </c>
      <c r="C13" s="22">
        <f t="shared" si="1"/>
        <v>21177.109341138301</v>
      </c>
      <c r="D13" s="24">
        <f t="shared" si="2"/>
        <v>865.13792875116542</v>
      </c>
      <c r="E13" s="25">
        <f t="shared" si="3"/>
        <v>0.91325023110828618</v>
      </c>
      <c r="F13" s="22">
        <f t="shared" si="4"/>
        <v>19734.849497146512</v>
      </c>
      <c r="G13" s="19"/>
      <c r="H13" s="19"/>
      <c r="I13" s="19"/>
    </row>
    <row r="14" spans="1:9" x14ac:dyDescent="0.35">
      <c r="A14" s="20">
        <v>45183</v>
      </c>
      <c r="B14" s="22">
        <v>20579</v>
      </c>
      <c r="C14" s="22">
        <f t="shared" si="1"/>
        <v>22057.928508477718</v>
      </c>
      <c r="D14" s="24">
        <f t="shared" si="2"/>
        <v>870.58082582194197</v>
      </c>
      <c r="E14" s="25">
        <f t="shared" si="3"/>
        <v>0.93295252054564826</v>
      </c>
      <c r="F14" s="22">
        <f t="shared" si="4"/>
        <v>20550.260088050709</v>
      </c>
      <c r="G14" s="19"/>
      <c r="H14" s="19"/>
      <c r="I14" s="19"/>
    </row>
    <row r="15" spans="1:9" x14ac:dyDescent="0.35">
      <c r="A15" s="20">
        <v>45274</v>
      </c>
      <c r="B15" s="22">
        <v>29328</v>
      </c>
      <c r="C15" s="22">
        <f t="shared" si="1"/>
        <v>22567.858782414507</v>
      </c>
      <c r="D15" s="24">
        <f t="shared" si="2"/>
        <v>745.40041858674647</v>
      </c>
      <c r="E15" s="25">
        <f t="shared" si="3"/>
        <v>1.2995473023277326</v>
      </c>
      <c r="F15" s="22">
        <f t="shared" si="4"/>
        <v>30263.78847287672</v>
      </c>
      <c r="G15" s="19"/>
      <c r="H15" s="19"/>
      <c r="I15" s="19"/>
    </row>
    <row r="16" spans="1:9" x14ac:dyDescent="0.35">
      <c r="A16" s="20">
        <v>45000</v>
      </c>
      <c r="B16" s="22">
        <v>22717</v>
      </c>
      <c r="C16" s="22">
        <f t="shared" si="1"/>
        <v>23427.405869015758</v>
      </c>
      <c r="D16" s="24">
        <f t="shared" si="2"/>
        <v>785.02028416550911</v>
      </c>
      <c r="E16" s="25">
        <f t="shared" si="3"/>
        <v>0.9696762896844966</v>
      </c>
      <c r="F16" s="22">
        <f t="shared" si="4"/>
        <v>22500.431785136345</v>
      </c>
      <c r="G16" s="19"/>
      <c r="H16" s="19"/>
      <c r="I16" s="19"/>
    </row>
    <row r="17" spans="1:9" x14ac:dyDescent="0.35">
      <c r="A17" s="20">
        <v>45092</v>
      </c>
      <c r="B17" s="22">
        <v>23185</v>
      </c>
      <c r="C17" s="22">
        <f t="shared" si="1"/>
        <v>24810.100730830185</v>
      </c>
      <c r="D17" s="24">
        <f t="shared" si="2"/>
        <v>992.47081109008718</v>
      </c>
      <c r="E17" s="25">
        <f t="shared" si="3"/>
        <v>0.93449842270044636</v>
      </c>
      <c r="F17" s="22">
        <f t="shared" si="4"/>
        <v>22112.003780085102</v>
      </c>
      <c r="G17" s="19"/>
      <c r="H17" s="19"/>
      <c r="I17" s="19"/>
    </row>
    <row r="18" spans="1:9" x14ac:dyDescent="0.35">
      <c r="A18" s="20">
        <v>45184</v>
      </c>
      <c r="B18" s="22">
        <v>25358</v>
      </c>
      <c r="C18" s="22">
        <f t="shared" si="1"/>
        <v>26503.451863977731</v>
      </c>
      <c r="D18" s="24">
        <f t="shared" si="2"/>
        <v>1235.7436514605815</v>
      </c>
      <c r="E18" s="25">
        <f t="shared" si="3"/>
        <v>0.9567810310197904</v>
      </c>
      <c r="F18" s="22">
        <f t="shared" si="4"/>
        <v>24072.574156593932</v>
      </c>
      <c r="G18" s="19"/>
      <c r="H18" s="19"/>
      <c r="I18" s="19"/>
    </row>
    <row r="19" spans="1:9" x14ac:dyDescent="0.35">
      <c r="A19" s="20">
        <v>45275</v>
      </c>
      <c r="B19" s="22">
        <v>35747</v>
      </c>
      <c r="C19" s="22">
        <f t="shared" si="1"/>
        <v>27621.217038798186</v>
      </c>
      <c r="D19" s="24">
        <f t="shared" si="2"/>
        <v>1194.7937799752831</v>
      </c>
      <c r="E19" s="25">
        <f t="shared" si="3"/>
        <v>1.294186275347242</v>
      </c>
      <c r="F19" s="22">
        <f t="shared" si="4"/>
        <v>36048.396700829398</v>
      </c>
      <c r="G19" s="19"/>
      <c r="H19" s="19"/>
      <c r="I19" s="19"/>
    </row>
    <row r="20" spans="1:9" x14ac:dyDescent="0.35">
      <c r="A20" s="20">
        <v>45001</v>
      </c>
      <c r="B20" s="22">
        <v>29128</v>
      </c>
      <c r="C20" s="22">
        <f t="shared" si="1"/>
        <v>29438.082101147451</v>
      </c>
      <c r="D20" s="24">
        <f t="shared" si="2"/>
        <v>1410.7123084507166</v>
      </c>
      <c r="E20" s="25">
        <f t="shared" si="3"/>
        <v>0.98946663372695176</v>
      </c>
      <c r="F20" s="22">
        <f t="shared" si="4"/>
        <v>27942.20245425657</v>
      </c>
      <c r="G20" s="19"/>
      <c r="H20" s="19"/>
      <c r="I20" s="19"/>
    </row>
    <row r="21" spans="1:9" x14ac:dyDescent="0.35">
      <c r="A21" s="20">
        <v>45093</v>
      </c>
      <c r="B21" s="22">
        <v>30404</v>
      </c>
      <c r="C21" s="22">
        <f t="shared" si="1"/>
        <v>31706.607685342773</v>
      </c>
      <c r="D21" s="24">
        <f t="shared" si="2"/>
        <v>1708.4559681461592</v>
      </c>
      <c r="E21" s="25">
        <f t="shared" si="3"/>
        <v>0.95891683846250952</v>
      </c>
      <c r="F21" s="22">
        <f t="shared" si="4"/>
        <v>28828.149717979832</v>
      </c>
      <c r="G21" s="19"/>
      <c r="H21" s="19"/>
      <c r="I21" s="19"/>
    </row>
    <row r="22" spans="1:9" x14ac:dyDescent="0.35">
      <c r="A22" s="20">
        <v>45185</v>
      </c>
      <c r="B22" s="22">
        <v>32714</v>
      </c>
      <c r="C22" s="22">
        <f t="shared" si="1"/>
        <v>33810.149652807639</v>
      </c>
      <c r="D22" s="24">
        <f t="shared" si="2"/>
        <v>1845.5887855760047</v>
      </c>
      <c r="E22" s="25">
        <f t="shared" si="3"/>
        <v>0.96757927237637609</v>
      </c>
      <c r="F22" s="22">
        <f t="shared" si="4"/>
        <v>31970.899053977068</v>
      </c>
      <c r="G22" s="19"/>
      <c r="H22" s="19"/>
      <c r="I22" s="19"/>
    </row>
    <row r="23" spans="1:9" x14ac:dyDescent="0.35">
      <c r="A23" s="20">
        <v>45276</v>
      </c>
      <c r="B23" s="22">
        <v>43741</v>
      </c>
      <c r="C23" s="22">
        <f t="shared" si="1"/>
        <v>34710.754814433923</v>
      </c>
      <c r="D23" s="24">
        <f t="shared" si="2"/>
        <v>1517.5886362395177</v>
      </c>
      <c r="E23" s="25">
        <f t="shared" si="3"/>
        <v>1.2601569811386237</v>
      </c>
      <c r="F23" s="22">
        <f t="shared" si="4"/>
        <v>46145.167324327216</v>
      </c>
      <c r="G23" s="19"/>
      <c r="H23" s="19"/>
      <c r="I23" s="19"/>
    </row>
    <row r="24" spans="1:9" x14ac:dyDescent="0.35">
      <c r="A24" s="20">
        <v>45002</v>
      </c>
      <c r="B24" s="22">
        <v>35714</v>
      </c>
      <c r="C24" s="22">
        <f t="shared" si="1"/>
        <v>36160.102140552699</v>
      </c>
      <c r="D24" s="24">
        <f t="shared" si="2"/>
        <v>1493.9023422728915</v>
      </c>
      <c r="E24" s="25">
        <f t="shared" si="3"/>
        <v>0.98766313936783923</v>
      </c>
      <c r="F24" s="22">
        <f t="shared" si="4"/>
        <v>35846.73703964171</v>
      </c>
      <c r="G24" s="19"/>
      <c r="H24" s="19"/>
      <c r="I24" s="19"/>
    </row>
    <row r="25" spans="1:9" x14ac:dyDescent="0.35">
      <c r="A25" s="20">
        <v>45094</v>
      </c>
      <c r="B25" s="22">
        <v>37955</v>
      </c>
      <c r="C25" s="22">
        <f t="shared" si="1"/>
        <v>38634.314756221029</v>
      </c>
      <c r="D25" s="24">
        <f t="shared" si="2"/>
        <v>1834.1642345645873</v>
      </c>
      <c r="E25" s="25">
        <f t="shared" si="3"/>
        <v>0.98241680328724756</v>
      </c>
      <c r="F25" s="22">
        <f t="shared" si="4"/>
        <v>36107.058934124281</v>
      </c>
      <c r="G25" s="19"/>
      <c r="H25" s="19"/>
      <c r="I25" s="19"/>
    </row>
    <row r="26" spans="1:9" x14ac:dyDescent="0.35">
      <c r="A26" s="20">
        <v>45186</v>
      </c>
      <c r="B26" s="22">
        <v>43744</v>
      </c>
      <c r="C26" s="22">
        <f t="shared" si="1"/>
        <v>42880.324868725758</v>
      </c>
      <c r="D26" s="24">
        <f t="shared" si="2"/>
        <v>2671.3065808356041</v>
      </c>
      <c r="E26" s="25">
        <f t="shared" si="3"/>
        <v>1.0201415249049139</v>
      </c>
      <c r="F26" s="22">
        <f t="shared" si="4"/>
        <v>39156.461456083009</v>
      </c>
      <c r="G26" s="19"/>
      <c r="H26" s="19"/>
      <c r="I26" s="19"/>
    </row>
    <row r="27" spans="1:9" x14ac:dyDescent="0.35">
      <c r="A27" s="20">
        <v>45277</v>
      </c>
      <c r="B27" s="22">
        <v>60453</v>
      </c>
      <c r="C27" s="22">
        <f t="shared" si="1"/>
        <v>46783.160222120612</v>
      </c>
      <c r="D27" s="24">
        <f t="shared" si="2"/>
        <v>3098.7654394592819</v>
      </c>
      <c r="E27" s="25">
        <f t="shared" si="3"/>
        <v>1.2921957326733955</v>
      </c>
      <c r="F27" s="22">
        <f t="shared" si="4"/>
        <v>57402.206373418434</v>
      </c>
      <c r="G27" s="19"/>
      <c r="H27" s="19"/>
      <c r="I27" s="19"/>
    </row>
    <row r="28" spans="1:9" x14ac:dyDescent="0.35">
      <c r="A28" s="20">
        <v>45003</v>
      </c>
      <c r="B28" s="22">
        <v>51042</v>
      </c>
      <c r="C28" s="22">
        <f t="shared" si="1"/>
        <v>50796.372790707159</v>
      </c>
      <c r="D28" s="24">
        <f t="shared" si="2"/>
        <v>3416.1664899244943</v>
      </c>
      <c r="E28" s="25">
        <f t="shared" si="3"/>
        <v>1.0048355265503874</v>
      </c>
      <c r="F28" s="22">
        <f t="shared" si="4"/>
        <v>49266.539296629177</v>
      </c>
      <c r="G28" s="19"/>
      <c r="H28" s="19"/>
      <c r="I28" s="19"/>
    </row>
    <row r="29" spans="1:9" x14ac:dyDescent="0.35">
      <c r="A29" s="20">
        <v>45095</v>
      </c>
      <c r="B29" s="22">
        <v>52886</v>
      </c>
      <c r="C29" s="22">
        <f t="shared" si="1"/>
        <v>54019.240245377878</v>
      </c>
      <c r="D29" s="24">
        <f t="shared" si="2"/>
        <v>3349.0731447881658</v>
      </c>
      <c r="E29" s="25">
        <f t="shared" si="3"/>
        <v>0.9790215441714798</v>
      </c>
      <c r="F29" s="22">
        <f t="shared" si="4"/>
        <v>53259.309538162488</v>
      </c>
      <c r="G29" s="19"/>
      <c r="H29" s="19"/>
      <c r="I29" s="19"/>
    </row>
    <row r="30" spans="1:9" x14ac:dyDescent="0.35">
      <c r="A30" s="20">
        <v>45187</v>
      </c>
      <c r="B30" s="22">
        <v>56576</v>
      </c>
      <c r="C30" s="22">
        <f t="shared" si="1"/>
        <v>56397.043269776361</v>
      </c>
      <c r="D30" s="24">
        <f t="shared" si="2"/>
        <v>3011.9490545289741</v>
      </c>
      <c r="E30" s="25">
        <f t="shared" si="3"/>
        <v>1.0031731580212033</v>
      </c>
      <c r="F30" s="22">
        <f t="shared" si="4"/>
        <v>58523.798703066976</v>
      </c>
      <c r="G30" s="19"/>
      <c r="H30" s="19"/>
      <c r="I30" s="19"/>
    </row>
    <row r="31" spans="1:9" x14ac:dyDescent="0.35">
      <c r="A31" s="20">
        <v>45278</v>
      </c>
      <c r="B31" s="22">
        <v>72383</v>
      </c>
      <c r="C31" s="22">
        <f t="shared" si="1"/>
        <v>57682.747977946114</v>
      </c>
      <c r="D31" s="24">
        <f t="shared" si="2"/>
        <v>2412.7763397357521</v>
      </c>
      <c r="E31" s="25">
        <f t="shared" si="3"/>
        <v>1.2548465969005889</v>
      </c>
      <c r="F31" s="22">
        <f t="shared" si="4"/>
        <v>76768.046363893867</v>
      </c>
      <c r="G31" s="19"/>
      <c r="H31" s="19"/>
      <c r="I31" s="19"/>
    </row>
    <row r="32" spans="1:9" x14ac:dyDescent="0.35">
      <c r="A32" s="20">
        <v>45004</v>
      </c>
      <c r="B32" s="22">
        <v>59700</v>
      </c>
      <c r="C32" s="22">
        <f t="shared" si="1"/>
        <v>59748.180078406964</v>
      </c>
      <c r="D32" s="24">
        <f t="shared" si="2"/>
        <v>2292.2145019790823</v>
      </c>
      <c r="E32" s="25">
        <f>$I$3*(B32/C32)+(1-$I$3)*E28</f>
        <v>0.99919361429346065</v>
      </c>
      <c r="F32" s="22">
        <f>(C31+D31)*E28</f>
        <v>60386.117821079468</v>
      </c>
      <c r="G32" s="19"/>
      <c r="H32" s="19"/>
      <c r="I32" s="19"/>
    </row>
    <row r="33" spans="6:6" x14ac:dyDescent="0.35">
      <c r="F33" s="21">
        <f>$C$32</f>
        <v>59748.180078406964</v>
      </c>
    </row>
  </sheetData>
  <pageMargins left="0.7" right="0.7" top="0.75" bottom="0.75" header="0.3" footer="0.3"/>
  <ignoredErrors>
    <ignoredError sqref="C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86A6-F130-4815-A1D2-B185EBB824B6}">
  <dimension ref="A1:R40"/>
  <sheetViews>
    <sheetView workbookViewId="0">
      <selection sqref="A1:B32"/>
    </sheetView>
  </sheetViews>
  <sheetFormatPr defaultRowHeight="14.5" x14ac:dyDescent="0.35"/>
  <sheetData>
    <row r="1" spans="1:12" x14ac:dyDescent="0.35">
      <c r="A1" s="1" t="s">
        <v>0</v>
      </c>
      <c r="B1" s="1" t="s">
        <v>25</v>
      </c>
      <c r="C1" t="s">
        <v>26</v>
      </c>
      <c r="D1" t="s">
        <v>18</v>
      </c>
    </row>
    <row r="2" spans="1:12" x14ac:dyDescent="0.35">
      <c r="A2" s="2">
        <v>40816</v>
      </c>
      <c r="B2" s="3">
        <v>10876</v>
      </c>
      <c r="C2">
        <v>1</v>
      </c>
      <c r="D2">
        <f>$K$28+$K$29*C2</f>
        <v>5982.4354838709751</v>
      </c>
    </row>
    <row r="3" spans="1:12" x14ac:dyDescent="0.35">
      <c r="A3" s="2">
        <v>40908</v>
      </c>
      <c r="B3" s="3">
        <v>17431</v>
      </c>
      <c r="C3">
        <v>2</v>
      </c>
      <c r="D3">
        <f t="shared" ref="D3:D40" si="0">$K$28+$K$29*C3</f>
        <v>7661.6451612903293</v>
      </c>
    </row>
    <row r="4" spans="1:12" x14ac:dyDescent="0.35">
      <c r="A4" s="2">
        <v>40999</v>
      </c>
      <c r="B4" s="3">
        <v>13185</v>
      </c>
      <c r="C4">
        <v>3</v>
      </c>
      <c r="D4">
        <f t="shared" si="0"/>
        <v>9340.8548387096853</v>
      </c>
    </row>
    <row r="5" spans="1:12" x14ac:dyDescent="0.35">
      <c r="A5" s="2">
        <v>41090</v>
      </c>
      <c r="B5" s="3">
        <v>12834</v>
      </c>
      <c r="C5">
        <v>4</v>
      </c>
      <c r="D5">
        <f t="shared" si="0"/>
        <v>11020.064516129038</v>
      </c>
    </row>
    <row r="6" spans="1:12" x14ac:dyDescent="0.35">
      <c r="A6" s="2">
        <v>41182</v>
      </c>
      <c r="B6" s="3">
        <v>13806</v>
      </c>
      <c r="C6">
        <v>5</v>
      </c>
      <c r="D6">
        <f t="shared" si="0"/>
        <v>12699.274193548394</v>
      </c>
    </row>
    <row r="7" spans="1:12" x14ac:dyDescent="0.35">
      <c r="A7" s="2">
        <v>41274</v>
      </c>
      <c r="B7" s="3">
        <v>21268</v>
      </c>
      <c r="C7">
        <v>6</v>
      </c>
      <c r="D7">
        <f t="shared" si="0"/>
        <v>14378.48387096775</v>
      </c>
    </row>
    <row r="8" spans="1:12" x14ac:dyDescent="0.35">
      <c r="A8" s="2">
        <v>41364</v>
      </c>
      <c r="B8" s="3">
        <v>16070</v>
      </c>
      <c r="C8">
        <v>7</v>
      </c>
      <c r="D8">
        <f t="shared" si="0"/>
        <v>16057.693548387102</v>
      </c>
    </row>
    <row r="9" spans="1:12" x14ac:dyDescent="0.35">
      <c r="A9" s="2">
        <v>41455</v>
      </c>
      <c r="B9" s="3">
        <v>15704</v>
      </c>
      <c r="C9">
        <v>8</v>
      </c>
      <c r="D9">
        <f t="shared" si="0"/>
        <v>17736.903225806458</v>
      </c>
    </row>
    <row r="10" spans="1:12" x14ac:dyDescent="0.35">
      <c r="A10" s="2">
        <v>41547</v>
      </c>
      <c r="B10" s="3">
        <v>17092</v>
      </c>
      <c r="C10">
        <v>9</v>
      </c>
      <c r="D10">
        <f t="shared" si="0"/>
        <v>19416.11290322581</v>
      </c>
    </row>
    <row r="11" spans="1:12" x14ac:dyDescent="0.35">
      <c r="A11" s="2">
        <v>41639</v>
      </c>
      <c r="B11" s="3">
        <v>25587</v>
      </c>
      <c r="C11">
        <v>10</v>
      </c>
      <c r="D11">
        <f t="shared" si="0"/>
        <v>21095.322580645166</v>
      </c>
    </row>
    <row r="12" spans="1:12" x14ac:dyDescent="0.35">
      <c r="A12" s="2">
        <v>41729</v>
      </c>
      <c r="B12" s="3">
        <v>19741</v>
      </c>
      <c r="C12">
        <v>11</v>
      </c>
      <c r="D12">
        <f t="shared" si="0"/>
        <v>22774.532258064522</v>
      </c>
      <c r="J12" t="s">
        <v>27</v>
      </c>
    </row>
    <row r="13" spans="1:12" ht="15" thickBot="1" x14ac:dyDescent="0.4">
      <c r="A13" s="2">
        <v>41820</v>
      </c>
      <c r="B13" s="3">
        <v>19340</v>
      </c>
      <c r="C13">
        <v>12</v>
      </c>
      <c r="D13">
        <f t="shared" si="0"/>
        <v>24453.741935483878</v>
      </c>
    </row>
    <row r="14" spans="1:12" x14ac:dyDescent="0.35">
      <c r="A14" s="2">
        <v>41912</v>
      </c>
      <c r="B14" s="3">
        <v>20579</v>
      </c>
      <c r="C14">
        <v>13</v>
      </c>
      <c r="D14">
        <f t="shared" si="0"/>
        <v>26132.951612903231</v>
      </c>
      <c r="J14" s="15" t="s">
        <v>28</v>
      </c>
      <c r="K14" s="15"/>
    </row>
    <row r="15" spans="1:12" x14ac:dyDescent="0.35">
      <c r="A15" s="2">
        <v>42004</v>
      </c>
      <c r="B15" s="3">
        <v>29328</v>
      </c>
      <c r="C15">
        <v>14</v>
      </c>
      <c r="D15">
        <f t="shared" si="0"/>
        <v>27812.161290322587</v>
      </c>
      <c r="J15" s="12" t="s">
        <v>29</v>
      </c>
      <c r="K15" s="12">
        <v>0.92322749101059975</v>
      </c>
      <c r="L15" t="s">
        <v>52</v>
      </c>
    </row>
    <row r="16" spans="1:12" x14ac:dyDescent="0.35">
      <c r="A16" s="2">
        <v>42094</v>
      </c>
      <c r="B16" s="3">
        <v>22717</v>
      </c>
      <c r="C16">
        <v>15</v>
      </c>
      <c r="D16">
        <f t="shared" si="0"/>
        <v>29491.370967741939</v>
      </c>
      <c r="J16" s="12" t="s">
        <v>30</v>
      </c>
      <c r="K16" s="12">
        <v>0.85234900015772708</v>
      </c>
      <c r="L16" t="s">
        <v>53</v>
      </c>
    </row>
    <row r="17" spans="1:18" x14ac:dyDescent="0.35">
      <c r="A17" s="2">
        <v>42185</v>
      </c>
      <c r="B17" s="3">
        <v>23185</v>
      </c>
      <c r="C17">
        <v>16</v>
      </c>
      <c r="D17">
        <f t="shared" si="0"/>
        <v>31170.580645161295</v>
      </c>
      <c r="J17" s="12" t="s">
        <v>31</v>
      </c>
      <c r="K17" s="12">
        <v>0.84725758637006254</v>
      </c>
    </row>
    <row r="18" spans="1:18" x14ac:dyDescent="0.35">
      <c r="A18" s="2">
        <v>42277</v>
      </c>
      <c r="B18" s="3">
        <v>25358</v>
      </c>
      <c r="C18">
        <v>17</v>
      </c>
      <c r="D18">
        <f t="shared" si="0"/>
        <v>32849.790322580651</v>
      </c>
      <c r="J18" s="12" t="s">
        <v>32</v>
      </c>
      <c r="K18" s="12">
        <v>6463.1053935505624</v>
      </c>
    </row>
    <row r="19" spans="1:18" ht="15" thickBot="1" x14ac:dyDescent="0.4">
      <c r="A19" s="2">
        <v>42369</v>
      </c>
      <c r="B19" s="3">
        <v>35747</v>
      </c>
      <c r="C19">
        <v>18</v>
      </c>
      <c r="D19">
        <f t="shared" si="0"/>
        <v>34529</v>
      </c>
      <c r="J19" s="13" t="s">
        <v>33</v>
      </c>
      <c r="K19" s="13">
        <v>31</v>
      </c>
    </row>
    <row r="20" spans="1:18" x14ac:dyDescent="0.35">
      <c r="A20" s="2">
        <v>42460</v>
      </c>
      <c r="B20" s="3">
        <v>29128</v>
      </c>
      <c r="C20">
        <v>19</v>
      </c>
      <c r="D20">
        <f t="shared" si="0"/>
        <v>36208.209677419356</v>
      </c>
    </row>
    <row r="21" spans="1:18" ht="15" thickBot="1" x14ac:dyDescent="0.4">
      <c r="A21" s="2">
        <v>42551</v>
      </c>
      <c r="B21" s="3">
        <v>30404</v>
      </c>
      <c r="C21">
        <v>20</v>
      </c>
      <c r="D21">
        <f t="shared" si="0"/>
        <v>37887.419354838712</v>
      </c>
      <c r="J21" t="s">
        <v>34</v>
      </c>
    </row>
    <row r="22" spans="1:18" x14ac:dyDescent="0.35">
      <c r="A22" s="2">
        <v>42643</v>
      </c>
      <c r="B22" s="3">
        <v>32714</v>
      </c>
      <c r="C22">
        <v>21</v>
      </c>
      <c r="D22">
        <f t="shared" si="0"/>
        <v>39566.629032258068</v>
      </c>
      <c r="J22" s="14"/>
      <c r="K22" s="14" t="s">
        <v>39</v>
      </c>
      <c r="L22" s="14" t="s">
        <v>40</v>
      </c>
      <c r="M22" s="14" t="s">
        <v>41</v>
      </c>
      <c r="N22" s="14" t="s">
        <v>42</v>
      </c>
      <c r="O22" s="14" t="s">
        <v>43</v>
      </c>
    </row>
    <row r="23" spans="1:18" x14ac:dyDescent="0.35">
      <c r="A23" s="2">
        <v>42735</v>
      </c>
      <c r="B23" s="3">
        <v>43741</v>
      </c>
      <c r="C23">
        <v>22</v>
      </c>
      <c r="D23">
        <f t="shared" si="0"/>
        <v>41245.838709677424</v>
      </c>
      <c r="J23" s="12" t="s">
        <v>35</v>
      </c>
      <c r="K23" s="12">
        <v>1</v>
      </c>
      <c r="L23" s="12">
        <v>6992967949.0322571</v>
      </c>
      <c r="M23" s="12">
        <v>6992967949.0322571</v>
      </c>
      <c r="N23" s="12">
        <v>167.40910004658983</v>
      </c>
      <c r="O23" s="12">
        <v>1.4230517909229896E-13</v>
      </c>
    </row>
    <row r="24" spans="1:18" x14ac:dyDescent="0.35">
      <c r="A24" s="2">
        <v>42825</v>
      </c>
      <c r="B24" s="3">
        <v>35714</v>
      </c>
      <c r="C24">
        <v>23</v>
      </c>
      <c r="D24">
        <f t="shared" si="0"/>
        <v>42925.04838709678</v>
      </c>
      <c r="J24" s="12" t="s">
        <v>36</v>
      </c>
      <c r="K24" s="12">
        <v>29</v>
      </c>
      <c r="L24" s="12">
        <v>1211380208.5161288</v>
      </c>
      <c r="M24" s="12">
        <v>41771731.328142375</v>
      </c>
      <c r="N24" s="12"/>
      <c r="O24" s="12"/>
    </row>
    <row r="25" spans="1:18" ht="15" thickBot="1" x14ac:dyDescent="0.4">
      <c r="A25" s="2">
        <v>42916</v>
      </c>
      <c r="B25" s="3">
        <v>37955</v>
      </c>
      <c r="C25">
        <v>24</v>
      </c>
      <c r="D25">
        <f t="shared" si="0"/>
        <v>44604.258064516136</v>
      </c>
      <c r="J25" s="13" t="s">
        <v>37</v>
      </c>
      <c r="K25" s="13">
        <v>30</v>
      </c>
      <c r="L25" s="13">
        <v>8204348157.5483856</v>
      </c>
      <c r="M25" s="13"/>
      <c r="N25" s="13"/>
      <c r="O25" s="13"/>
    </row>
    <row r="26" spans="1:18" ht="15" thickBot="1" x14ac:dyDescent="0.4">
      <c r="A26" s="2">
        <v>43008</v>
      </c>
      <c r="B26" s="3">
        <v>43744</v>
      </c>
      <c r="C26">
        <v>25</v>
      </c>
      <c r="D26">
        <f t="shared" si="0"/>
        <v>46283.467741935485</v>
      </c>
    </row>
    <row r="27" spans="1:18" x14ac:dyDescent="0.35">
      <c r="A27" s="2">
        <v>43100</v>
      </c>
      <c r="B27" s="3">
        <v>60453</v>
      </c>
      <c r="C27">
        <v>26</v>
      </c>
      <c r="D27">
        <f t="shared" si="0"/>
        <v>47962.677419354841</v>
      </c>
      <c r="J27" s="14"/>
      <c r="K27" s="14" t="s">
        <v>44</v>
      </c>
      <c r="L27" s="14" t="s">
        <v>32</v>
      </c>
      <c r="M27" s="14" t="s">
        <v>45</v>
      </c>
      <c r="N27" s="14" t="s">
        <v>46</v>
      </c>
      <c r="O27" s="14" t="s">
        <v>47</v>
      </c>
      <c r="P27" s="14" t="s">
        <v>48</v>
      </c>
      <c r="Q27" s="14" t="s">
        <v>49</v>
      </c>
      <c r="R27" s="14" t="s">
        <v>50</v>
      </c>
    </row>
    <row r="28" spans="1:18" x14ac:dyDescent="0.35">
      <c r="A28" s="2">
        <v>43190</v>
      </c>
      <c r="B28" s="3">
        <v>51042</v>
      </c>
      <c r="C28">
        <v>27</v>
      </c>
      <c r="D28">
        <f t="shared" si="0"/>
        <v>49641.887096774197</v>
      </c>
      <c r="I28" t="s">
        <v>54</v>
      </c>
      <c r="J28" s="12" t="s">
        <v>38</v>
      </c>
      <c r="K28" s="16">
        <v>4303.22580645162</v>
      </c>
      <c r="L28" s="12">
        <v>2378.9484772397286</v>
      </c>
      <c r="M28" s="12">
        <v>1.8088772613707924</v>
      </c>
      <c r="N28" s="12">
        <v>8.0849312941463553E-2</v>
      </c>
      <c r="O28" s="12">
        <v>-562.27013630553574</v>
      </c>
      <c r="P28" s="12">
        <v>9168.7217492087693</v>
      </c>
      <c r="Q28" s="12">
        <v>-562.27013630553574</v>
      </c>
      <c r="R28" s="12">
        <v>9168.7217492087693</v>
      </c>
    </row>
    <row r="29" spans="1:18" ht="15" thickBot="1" x14ac:dyDescent="0.4">
      <c r="A29" s="2">
        <v>43281</v>
      </c>
      <c r="B29" s="3">
        <v>52886</v>
      </c>
      <c r="C29">
        <v>28</v>
      </c>
      <c r="D29">
        <f t="shared" si="0"/>
        <v>51321.096774193553</v>
      </c>
      <c r="I29" t="s">
        <v>55</v>
      </c>
      <c r="J29" s="13" t="s">
        <v>51</v>
      </c>
      <c r="K29" s="17">
        <v>1679.2096774193546</v>
      </c>
      <c r="L29" s="13">
        <v>129.7822794208451</v>
      </c>
      <c r="M29" s="17">
        <v>12.938666857392599</v>
      </c>
      <c r="N29" s="13">
        <v>1.4230517909229896E-13</v>
      </c>
      <c r="O29" s="13">
        <v>1413.775112524293</v>
      </c>
      <c r="P29" s="13">
        <v>1944.6442423144163</v>
      </c>
      <c r="Q29" s="13">
        <v>1413.775112524293</v>
      </c>
      <c r="R29" s="13">
        <v>1944.6442423144163</v>
      </c>
    </row>
    <row r="30" spans="1:18" x14ac:dyDescent="0.35">
      <c r="A30" s="2">
        <v>43373</v>
      </c>
      <c r="B30" s="3">
        <v>56576</v>
      </c>
      <c r="C30">
        <v>29</v>
      </c>
      <c r="D30">
        <f t="shared" si="0"/>
        <v>53000.306451612909</v>
      </c>
      <c r="M30" t="s">
        <v>57</v>
      </c>
    </row>
    <row r="31" spans="1:18" x14ac:dyDescent="0.35">
      <c r="A31" s="2">
        <v>43465</v>
      </c>
      <c r="B31" s="3">
        <v>72383</v>
      </c>
      <c r="C31">
        <v>30</v>
      </c>
      <c r="D31">
        <f t="shared" si="0"/>
        <v>54679.516129032258</v>
      </c>
    </row>
    <row r="32" spans="1:18" x14ac:dyDescent="0.35">
      <c r="A32" s="2">
        <v>43466</v>
      </c>
      <c r="B32" s="3">
        <v>59700</v>
      </c>
      <c r="C32">
        <v>31</v>
      </c>
      <c r="D32">
        <f t="shared" si="0"/>
        <v>56358.725806451614</v>
      </c>
    </row>
    <row r="33" spans="3:12" x14ac:dyDescent="0.35">
      <c r="C33">
        <v>32</v>
      </c>
      <c r="D33">
        <f t="shared" si="0"/>
        <v>58037.93548387097</v>
      </c>
    </row>
    <row r="34" spans="3:12" x14ac:dyDescent="0.35">
      <c r="C34">
        <v>33</v>
      </c>
      <c r="D34">
        <f t="shared" si="0"/>
        <v>59717.145161290326</v>
      </c>
      <c r="L34" t="s">
        <v>56</v>
      </c>
    </row>
    <row r="35" spans="3:12" x14ac:dyDescent="0.35">
      <c r="C35">
        <v>34</v>
      </c>
      <c r="D35">
        <f t="shared" si="0"/>
        <v>61396.354838709682</v>
      </c>
    </row>
    <row r="36" spans="3:12" x14ac:dyDescent="0.35">
      <c r="C36">
        <v>35</v>
      </c>
      <c r="D36">
        <f t="shared" si="0"/>
        <v>63075.56451612903</v>
      </c>
    </row>
    <row r="37" spans="3:12" x14ac:dyDescent="0.35">
      <c r="C37">
        <v>36</v>
      </c>
      <c r="D37">
        <f t="shared" si="0"/>
        <v>64754.774193548386</v>
      </c>
    </row>
    <row r="38" spans="3:12" x14ac:dyDescent="0.35">
      <c r="C38">
        <v>37</v>
      </c>
      <c r="D38">
        <f t="shared" si="0"/>
        <v>66433.983870967742</v>
      </c>
    </row>
    <row r="39" spans="3:12" x14ac:dyDescent="0.35">
      <c r="C39">
        <v>38</v>
      </c>
      <c r="D39">
        <f t="shared" si="0"/>
        <v>68113.193548387091</v>
      </c>
    </row>
    <row r="40" spans="3:12" x14ac:dyDescent="0.35">
      <c r="C40">
        <v>39</v>
      </c>
      <c r="D40">
        <f t="shared" si="0"/>
        <v>69792.403225806454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EA7-C72E-49B7-827B-94023E14224E}">
  <dimension ref="A1:X46"/>
  <sheetViews>
    <sheetView workbookViewId="0">
      <selection activeCell="D32" sqref="D32"/>
    </sheetView>
  </sheetViews>
  <sheetFormatPr defaultRowHeight="14.5" x14ac:dyDescent="0.35"/>
  <sheetData>
    <row r="1" spans="1:17" x14ac:dyDescent="0.35">
      <c r="A1" s="1" t="s">
        <v>0</v>
      </c>
      <c r="B1" s="1" t="s">
        <v>25</v>
      </c>
      <c r="C1" t="s">
        <v>58</v>
      </c>
      <c r="D1" t="s">
        <v>59</v>
      </c>
      <c r="E1" t="s">
        <v>60</v>
      </c>
      <c r="F1" t="s">
        <v>61</v>
      </c>
      <c r="G1" t="s">
        <v>18</v>
      </c>
    </row>
    <row r="2" spans="1:17" x14ac:dyDescent="0.35">
      <c r="A2" s="2">
        <v>40816</v>
      </c>
      <c r="B2" s="3">
        <v>10876</v>
      </c>
      <c r="C2">
        <v>1</v>
      </c>
      <c r="D2">
        <f>IF(MONTH(A2)=3,1,0)</f>
        <v>0</v>
      </c>
      <c r="E2">
        <f>IF(MONTH(A2)=6,1,0)</f>
        <v>0</v>
      </c>
      <c r="F2">
        <f>IF(MONTH(A2)=9,1,0)</f>
        <v>1</v>
      </c>
      <c r="G2">
        <f>$Q$24+$Q$25*C2+$Q$26*D2+$Q$27*E2+$Q$28*F2</f>
        <v>4852.3894808743225</v>
      </c>
    </row>
    <row r="3" spans="1:17" x14ac:dyDescent="0.35">
      <c r="A3" s="2">
        <v>40908</v>
      </c>
      <c r="B3" s="3">
        <v>17431</v>
      </c>
      <c r="C3">
        <v>2</v>
      </c>
      <c r="D3">
        <f t="shared" ref="D3:D46" si="0">IF(MONTH(A3)=3,1,0)</f>
        <v>0</v>
      </c>
      <c r="E3">
        <f t="shared" ref="E3:E32" si="1">IF(MONTH(A3)=6,1,0)</f>
        <v>0</v>
      </c>
      <c r="F3">
        <f t="shared" ref="F3:F32" si="2">IF(MONTH(A3)=9,1,0)</f>
        <v>0</v>
      </c>
      <c r="G3">
        <f t="shared" ref="G3:G32" si="3">$Q$24+$Q$25*C3+$Q$26*D3+$Q$27*E3+$Q$28*F3</f>
        <v>15178.47850637523</v>
      </c>
    </row>
    <row r="4" spans="1:17" x14ac:dyDescent="0.35">
      <c r="A4" s="2">
        <v>40999</v>
      </c>
      <c r="B4" s="3">
        <v>13185</v>
      </c>
      <c r="C4">
        <v>3</v>
      </c>
      <c r="D4">
        <f t="shared" si="0"/>
        <v>1</v>
      </c>
      <c r="E4">
        <f t="shared" si="1"/>
        <v>0</v>
      </c>
      <c r="F4">
        <f t="shared" si="2"/>
        <v>0</v>
      </c>
      <c r="G4">
        <f t="shared" si="3"/>
        <v>7307.5124121779882</v>
      </c>
    </row>
    <row r="5" spans="1:17" x14ac:dyDescent="0.35">
      <c r="A5" s="2">
        <v>41090</v>
      </c>
      <c r="B5" s="3">
        <v>12834</v>
      </c>
      <c r="C5">
        <v>4</v>
      </c>
      <c r="D5">
        <f t="shared" si="0"/>
        <v>0</v>
      </c>
      <c r="E5">
        <f t="shared" si="1"/>
        <v>1</v>
      </c>
      <c r="F5">
        <f t="shared" si="2"/>
        <v>0</v>
      </c>
      <c r="G5">
        <f t="shared" si="3"/>
        <v>7980.5124121779863</v>
      </c>
    </row>
    <row r="6" spans="1:17" x14ac:dyDescent="0.35">
      <c r="A6" s="2">
        <v>41182</v>
      </c>
      <c r="B6" s="3">
        <v>13806</v>
      </c>
      <c r="C6">
        <v>5</v>
      </c>
      <c r="D6">
        <f t="shared" si="0"/>
        <v>0</v>
      </c>
      <c r="E6">
        <f t="shared" si="1"/>
        <v>0</v>
      </c>
      <c r="F6">
        <f t="shared" si="2"/>
        <v>1</v>
      </c>
      <c r="G6">
        <f t="shared" si="3"/>
        <v>11349.742486338804</v>
      </c>
    </row>
    <row r="7" spans="1:17" x14ac:dyDescent="0.35">
      <c r="A7" s="2">
        <v>41274</v>
      </c>
      <c r="B7" s="3">
        <v>21268</v>
      </c>
      <c r="C7">
        <v>6</v>
      </c>
      <c r="D7">
        <f t="shared" si="0"/>
        <v>0</v>
      </c>
      <c r="E7">
        <f t="shared" si="1"/>
        <v>0</v>
      </c>
      <c r="F7">
        <f t="shared" si="2"/>
        <v>0</v>
      </c>
      <c r="G7">
        <f t="shared" si="3"/>
        <v>21675.831511839711</v>
      </c>
    </row>
    <row r="8" spans="1:17" x14ac:dyDescent="0.35">
      <c r="A8" s="2">
        <v>41364</v>
      </c>
      <c r="B8" s="3">
        <v>16070</v>
      </c>
      <c r="C8">
        <v>7</v>
      </c>
      <c r="D8">
        <f t="shared" si="0"/>
        <v>1</v>
      </c>
      <c r="E8">
        <f t="shared" si="1"/>
        <v>0</v>
      </c>
      <c r="F8">
        <f t="shared" si="2"/>
        <v>0</v>
      </c>
      <c r="G8">
        <f t="shared" si="3"/>
        <v>13804.865417642468</v>
      </c>
      <c r="P8" t="s">
        <v>27</v>
      </c>
    </row>
    <row r="9" spans="1:17" ht="15" thickBot="1" x14ac:dyDescent="0.4">
      <c r="A9" s="2">
        <v>41455</v>
      </c>
      <c r="B9" s="3">
        <v>15704</v>
      </c>
      <c r="C9">
        <v>8</v>
      </c>
      <c r="D9">
        <f t="shared" si="0"/>
        <v>0</v>
      </c>
      <c r="E9">
        <f t="shared" si="1"/>
        <v>1</v>
      </c>
      <c r="F9">
        <f t="shared" si="2"/>
        <v>0</v>
      </c>
      <c r="G9">
        <f t="shared" si="3"/>
        <v>14477.865417642466</v>
      </c>
    </row>
    <row r="10" spans="1:17" x14ac:dyDescent="0.35">
      <c r="A10" s="2">
        <v>41547</v>
      </c>
      <c r="B10" s="3">
        <v>17092</v>
      </c>
      <c r="C10">
        <v>9</v>
      </c>
      <c r="D10">
        <f t="shared" si="0"/>
        <v>0</v>
      </c>
      <c r="E10">
        <f t="shared" si="1"/>
        <v>0</v>
      </c>
      <c r="F10">
        <f t="shared" si="2"/>
        <v>1</v>
      </c>
      <c r="G10">
        <f t="shared" si="3"/>
        <v>17847.095491803284</v>
      </c>
      <c r="P10" s="15" t="s">
        <v>28</v>
      </c>
      <c r="Q10" s="15"/>
    </row>
    <row r="11" spans="1:17" x14ac:dyDescent="0.35">
      <c r="A11" s="2">
        <v>41639</v>
      </c>
      <c r="B11" s="3">
        <v>25587</v>
      </c>
      <c r="C11">
        <v>10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28173.184517304191</v>
      </c>
      <c r="P11" s="12" t="s">
        <v>29</v>
      </c>
      <c r="Q11" s="12">
        <v>0.96084546024369855</v>
      </c>
    </row>
    <row r="12" spans="1:17" x14ac:dyDescent="0.35">
      <c r="A12" s="2">
        <v>41729</v>
      </c>
      <c r="B12" s="3">
        <v>19741</v>
      </c>
      <c r="C12">
        <v>11</v>
      </c>
      <c r="D12">
        <f t="shared" si="0"/>
        <v>1</v>
      </c>
      <c r="E12">
        <f t="shared" si="1"/>
        <v>0</v>
      </c>
      <c r="F12">
        <f t="shared" si="2"/>
        <v>0</v>
      </c>
      <c r="G12">
        <f t="shared" si="3"/>
        <v>20302.218423106951</v>
      </c>
      <c r="P12" s="12" t="s">
        <v>30</v>
      </c>
      <c r="Q12" s="12">
        <v>0.92322399847092496</v>
      </c>
    </row>
    <row r="13" spans="1:17" x14ac:dyDescent="0.35">
      <c r="A13" s="2">
        <v>41820</v>
      </c>
      <c r="B13" s="3">
        <v>19340</v>
      </c>
      <c r="C13">
        <v>12</v>
      </c>
      <c r="D13">
        <f t="shared" si="0"/>
        <v>0</v>
      </c>
      <c r="E13">
        <f t="shared" si="1"/>
        <v>1</v>
      </c>
      <c r="F13">
        <f t="shared" si="2"/>
        <v>0</v>
      </c>
      <c r="G13">
        <f t="shared" si="3"/>
        <v>20975.218423106948</v>
      </c>
      <c r="P13" s="12" t="s">
        <v>31</v>
      </c>
      <c r="Q13" s="12">
        <v>0.91141230592799027</v>
      </c>
    </row>
    <row r="14" spans="1:17" x14ac:dyDescent="0.35">
      <c r="A14" s="2">
        <v>41912</v>
      </c>
      <c r="B14" s="3">
        <v>20579</v>
      </c>
      <c r="C14">
        <v>13</v>
      </c>
      <c r="D14">
        <f t="shared" si="0"/>
        <v>0</v>
      </c>
      <c r="E14">
        <f t="shared" si="1"/>
        <v>0</v>
      </c>
      <c r="F14">
        <f t="shared" si="2"/>
        <v>1</v>
      </c>
      <c r="G14">
        <f t="shared" si="3"/>
        <v>24344.448497267767</v>
      </c>
      <c r="P14" s="12" t="s">
        <v>32</v>
      </c>
      <c r="Q14" s="12">
        <v>4922.0736979487056</v>
      </c>
    </row>
    <row r="15" spans="1:17" ht="15" thickBot="1" x14ac:dyDescent="0.4">
      <c r="A15" s="2">
        <v>42004</v>
      </c>
      <c r="B15" s="3">
        <v>29328</v>
      </c>
      <c r="C15">
        <v>14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34670.537522768675</v>
      </c>
      <c r="P15" s="13" t="s">
        <v>33</v>
      </c>
      <c r="Q15" s="13">
        <v>31</v>
      </c>
    </row>
    <row r="16" spans="1:17" x14ac:dyDescent="0.35">
      <c r="A16" s="2">
        <v>42094</v>
      </c>
      <c r="B16" s="3">
        <v>22717</v>
      </c>
      <c r="C16">
        <v>15</v>
      </c>
      <c r="D16">
        <f t="shared" si="0"/>
        <v>1</v>
      </c>
      <c r="E16">
        <f t="shared" si="1"/>
        <v>0</v>
      </c>
      <c r="F16">
        <f t="shared" si="2"/>
        <v>0</v>
      </c>
      <c r="G16">
        <f t="shared" si="3"/>
        <v>26799.571428571431</v>
      </c>
    </row>
    <row r="17" spans="1:24" ht="15" thickBot="1" x14ac:dyDescent="0.4">
      <c r="A17" s="2">
        <v>42185</v>
      </c>
      <c r="B17" s="3">
        <v>23185</v>
      </c>
      <c r="C17">
        <v>16</v>
      </c>
      <c r="D17">
        <f t="shared" si="0"/>
        <v>0</v>
      </c>
      <c r="E17">
        <f t="shared" si="1"/>
        <v>1</v>
      </c>
      <c r="F17">
        <f t="shared" si="2"/>
        <v>0</v>
      </c>
      <c r="G17">
        <f t="shared" si="3"/>
        <v>27472.571428571428</v>
      </c>
      <c r="P17" t="s">
        <v>34</v>
      </c>
    </row>
    <row r="18" spans="1:24" x14ac:dyDescent="0.35">
      <c r="A18" s="2">
        <v>42277</v>
      </c>
      <c r="B18" s="3">
        <v>25358</v>
      </c>
      <c r="C18">
        <v>17</v>
      </c>
      <c r="D18">
        <f t="shared" si="0"/>
        <v>0</v>
      </c>
      <c r="E18">
        <f t="shared" si="1"/>
        <v>0</v>
      </c>
      <c r="F18">
        <f t="shared" si="2"/>
        <v>1</v>
      </c>
      <c r="G18">
        <f t="shared" si="3"/>
        <v>30841.801502732247</v>
      </c>
      <c r="P18" s="14"/>
      <c r="Q18" s="14" t="s">
        <v>39</v>
      </c>
      <c r="R18" s="14" t="s">
        <v>40</v>
      </c>
      <c r="S18" s="14" t="s">
        <v>41</v>
      </c>
      <c r="T18" s="14" t="s">
        <v>42</v>
      </c>
      <c r="U18" s="14" t="s">
        <v>43</v>
      </c>
    </row>
    <row r="19" spans="1:24" x14ac:dyDescent="0.35">
      <c r="A19" s="2">
        <v>42369</v>
      </c>
      <c r="B19" s="3">
        <v>35747</v>
      </c>
      <c r="C19">
        <v>18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41167.890528233154</v>
      </c>
      <c r="P19" s="12" t="s">
        <v>35</v>
      </c>
      <c r="Q19" s="12">
        <v>4</v>
      </c>
      <c r="R19" s="12">
        <v>7574451110.8593864</v>
      </c>
      <c r="S19" s="12">
        <v>1893612777.7148466</v>
      </c>
      <c r="T19" s="12">
        <v>78.161871816005487</v>
      </c>
      <c r="U19" s="12">
        <v>4.1873435832417963E-14</v>
      </c>
    </row>
    <row r="20" spans="1:24" x14ac:dyDescent="0.35">
      <c r="A20" s="2">
        <v>42460</v>
      </c>
      <c r="B20" s="3">
        <v>29128</v>
      </c>
      <c r="C20">
        <v>19</v>
      </c>
      <c r="D20">
        <f t="shared" si="0"/>
        <v>1</v>
      </c>
      <c r="E20">
        <f t="shared" si="1"/>
        <v>0</v>
      </c>
      <c r="F20">
        <f t="shared" si="2"/>
        <v>0</v>
      </c>
      <c r="G20">
        <f t="shared" si="3"/>
        <v>33296.924434035915</v>
      </c>
      <c r="P20" s="12" t="s">
        <v>36</v>
      </c>
      <c r="Q20" s="12">
        <v>26</v>
      </c>
      <c r="R20" s="12">
        <v>629897046.68899965</v>
      </c>
      <c r="S20" s="12">
        <v>24226809.488038447</v>
      </c>
      <c r="T20" s="12"/>
      <c r="U20" s="12"/>
    </row>
    <row r="21" spans="1:24" ht="15" thickBot="1" x14ac:dyDescent="0.4">
      <c r="A21" s="2">
        <v>42551</v>
      </c>
      <c r="B21" s="3">
        <v>30404</v>
      </c>
      <c r="C21">
        <v>20</v>
      </c>
      <c r="D21">
        <f t="shared" si="0"/>
        <v>0</v>
      </c>
      <c r="E21">
        <f t="shared" si="1"/>
        <v>1</v>
      </c>
      <c r="F21">
        <f t="shared" si="2"/>
        <v>0</v>
      </c>
      <c r="G21">
        <f t="shared" si="3"/>
        <v>33969.924434035907</v>
      </c>
      <c r="P21" s="13" t="s">
        <v>37</v>
      </c>
      <c r="Q21" s="13">
        <v>30</v>
      </c>
      <c r="R21" s="13">
        <v>8204348157.5483856</v>
      </c>
      <c r="S21" s="13"/>
      <c r="T21" s="13"/>
      <c r="U21" s="13"/>
    </row>
    <row r="22" spans="1:24" ht="15" thickBot="1" x14ac:dyDescent="0.4">
      <c r="A22" s="2">
        <v>42643</v>
      </c>
      <c r="B22" s="3">
        <v>32714</v>
      </c>
      <c r="C22">
        <v>21</v>
      </c>
      <c r="D22">
        <f t="shared" si="0"/>
        <v>0</v>
      </c>
      <c r="E22">
        <f t="shared" si="1"/>
        <v>0</v>
      </c>
      <c r="F22">
        <f t="shared" si="2"/>
        <v>1</v>
      </c>
      <c r="G22">
        <f t="shared" si="3"/>
        <v>37339.154508196727</v>
      </c>
    </row>
    <row r="23" spans="1:24" x14ac:dyDescent="0.35">
      <c r="A23" s="2">
        <v>42735</v>
      </c>
      <c r="B23" s="3">
        <v>43741</v>
      </c>
      <c r="C23">
        <v>22</v>
      </c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47665.243533697634</v>
      </c>
      <c r="P23" s="14"/>
      <c r="Q23" s="14" t="s">
        <v>44</v>
      </c>
      <c r="R23" s="14" t="s">
        <v>32</v>
      </c>
      <c r="S23" s="14" t="s">
        <v>45</v>
      </c>
      <c r="T23" s="14" t="s">
        <v>46</v>
      </c>
      <c r="U23" s="14" t="s">
        <v>47</v>
      </c>
      <c r="V23" s="14" t="s">
        <v>48</v>
      </c>
      <c r="W23" s="14" t="s">
        <v>49</v>
      </c>
      <c r="X23" s="14" t="s">
        <v>50</v>
      </c>
    </row>
    <row r="24" spans="1:24" x14ac:dyDescent="0.35">
      <c r="A24" s="2">
        <v>42825</v>
      </c>
      <c r="B24" s="3">
        <v>35714</v>
      </c>
      <c r="C24">
        <v>23</v>
      </c>
      <c r="D24">
        <f t="shared" si="0"/>
        <v>1</v>
      </c>
      <c r="E24">
        <f t="shared" si="1"/>
        <v>0</v>
      </c>
      <c r="F24">
        <f t="shared" si="2"/>
        <v>0</v>
      </c>
      <c r="G24">
        <f t="shared" si="3"/>
        <v>39794.277439500394</v>
      </c>
      <c r="P24" s="12" t="s">
        <v>38</v>
      </c>
      <c r="Q24" s="12">
        <v>11929.80200364299</v>
      </c>
      <c r="R24" s="12">
        <v>2406.4133629423741</v>
      </c>
      <c r="S24" s="12">
        <v>4.9575032234096978</v>
      </c>
      <c r="T24" s="12">
        <v>3.7592494618709809E-5</v>
      </c>
      <c r="U24" s="12">
        <v>6983.3484945713435</v>
      </c>
      <c r="V24" s="12">
        <v>16876.255512714637</v>
      </c>
      <c r="W24" s="12">
        <v>6983.3484945713435</v>
      </c>
      <c r="X24" s="12">
        <v>16876.255512714637</v>
      </c>
    </row>
    <row r="25" spans="1:24" x14ac:dyDescent="0.35">
      <c r="A25" s="2">
        <v>42916</v>
      </c>
      <c r="B25" s="3">
        <v>37955</v>
      </c>
      <c r="C25">
        <v>24</v>
      </c>
      <c r="D25">
        <f t="shared" si="0"/>
        <v>0</v>
      </c>
      <c r="E25">
        <f t="shared" si="1"/>
        <v>1</v>
      </c>
      <c r="F25">
        <f t="shared" si="2"/>
        <v>0</v>
      </c>
      <c r="G25">
        <f t="shared" si="3"/>
        <v>40467.277439500387</v>
      </c>
      <c r="P25" s="12" t="s">
        <v>58</v>
      </c>
      <c r="Q25" s="12">
        <v>1624.3382513661202</v>
      </c>
      <c r="R25" s="12">
        <v>99.644469399876726</v>
      </c>
      <c r="S25" s="12">
        <v>16.301338761186976</v>
      </c>
      <c r="T25" s="12">
        <v>3.6213600494644527E-15</v>
      </c>
      <c r="U25" s="12">
        <v>1419.5161111167247</v>
      </c>
      <c r="V25" s="12">
        <v>1829.1603916155157</v>
      </c>
      <c r="W25" s="12">
        <v>1419.5161111167247</v>
      </c>
      <c r="X25" s="12">
        <v>1829.1603916155157</v>
      </c>
    </row>
    <row r="26" spans="1:24" x14ac:dyDescent="0.35">
      <c r="A26" s="2">
        <v>43008</v>
      </c>
      <c r="B26" s="3">
        <v>43744</v>
      </c>
      <c r="C26">
        <v>25</v>
      </c>
      <c r="D26">
        <f t="shared" si="0"/>
        <v>0</v>
      </c>
      <c r="E26">
        <f t="shared" si="1"/>
        <v>0</v>
      </c>
      <c r="F26">
        <f t="shared" si="2"/>
        <v>1</v>
      </c>
      <c r="G26">
        <f t="shared" si="3"/>
        <v>43836.507513661207</v>
      </c>
      <c r="P26" s="12" t="s">
        <v>59</v>
      </c>
      <c r="Q26" s="12">
        <v>-9495.3043455633633</v>
      </c>
      <c r="R26" s="12">
        <v>2494.6837217066845</v>
      </c>
      <c r="S26" s="12">
        <v>-3.8062156989854223</v>
      </c>
      <c r="T26" s="12">
        <v>7.7338524770707037E-4</v>
      </c>
      <c r="U26" s="12">
        <v>-14623.200175634618</v>
      </c>
      <c r="V26" s="12">
        <v>-4367.4085154921086</v>
      </c>
      <c r="W26" s="12">
        <v>-14623.200175634618</v>
      </c>
      <c r="X26" s="12">
        <v>-4367.4085154921086</v>
      </c>
    </row>
    <row r="27" spans="1:24" x14ac:dyDescent="0.35">
      <c r="A27" s="2">
        <v>43100</v>
      </c>
      <c r="B27" s="3">
        <v>60453</v>
      </c>
      <c r="C27">
        <v>26</v>
      </c>
      <c r="D27">
        <f t="shared" si="0"/>
        <v>0</v>
      </c>
      <c r="E27">
        <f t="shared" si="1"/>
        <v>0</v>
      </c>
      <c r="F27">
        <f t="shared" si="2"/>
        <v>0</v>
      </c>
      <c r="G27">
        <f t="shared" si="3"/>
        <v>54162.596539162114</v>
      </c>
      <c r="P27" s="12" t="s">
        <v>60</v>
      </c>
      <c r="Q27" s="12">
        <v>-10446.642596929485</v>
      </c>
      <c r="R27" s="12">
        <v>2486.0452764970019</v>
      </c>
      <c r="S27" s="12">
        <v>-4.2021127674912977</v>
      </c>
      <c r="T27" s="12">
        <v>2.7551330114929709E-4</v>
      </c>
      <c r="U27" s="12">
        <v>-15556.781848568135</v>
      </c>
      <c r="V27" s="12">
        <v>-5336.5033452908365</v>
      </c>
      <c r="W27" s="12">
        <v>-15556.781848568135</v>
      </c>
      <c r="X27" s="12">
        <v>-5336.5033452908365</v>
      </c>
    </row>
    <row r="28" spans="1:24" ht="15" thickBot="1" x14ac:dyDescent="0.4">
      <c r="A28" s="2">
        <v>43190</v>
      </c>
      <c r="B28" s="3">
        <v>51042</v>
      </c>
      <c r="C28">
        <v>27</v>
      </c>
      <c r="D28">
        <f t="shared" si="0"/>
        <v>1</v>
      </c>
      <c r="E28">
        <f t="shared" si="1"/>
        <v>0</v>
      </c>
      <c r="F28">
        <f t="shared" si="2"/>
        <v>0</v>
      </c>
      <c r="G28">
        <f t="shared" si="3"/>
        <v>46291.630444964874</v>
      </c>
      <c r="P28" s="13" t="s">
        <v>61</v>
      </c>
      <c r="Q28" s="13">
        <v>-8701.7507741347872</v>
      </c>
      <c r="R28" s="13">
        <v>2406.4133629423732</v>
      </c>
      <c r="S28" s="13">
        <v>-3.6160665113224648</v>
      </c>
      <c r="T28" s="13">
        <v>1.261618559837996E-3</v>
      </c>
      <c r="U28" s="13">
        <v>-13648.204283206433</v>
      </c>
      <c r="V28" s="13">
        <v>-3755.2972650631427</v>
      </c>
      <c r="W28" s="13">
        <v>-13648.204283206433</v>
      </c>
      <c r="X28" s="13">
        <v>-3755.2972650631427</v>
      </c>
    </row>
    <row r="29" spans="1:24" x14ac:dyDescent="0.35">
      <c r="A29" s="2">
        <v>43281</v>
      </c>
      <c r="B29" s="3">
        <v>52886</v>
      </c>
      <c r="C29">
        <v>28</v>
      </c>
      <c r="D29">
        <f t="shared" si="0"/>
        <v>0</v>
      </c>
      <c r="E29">
        <f t="shared" si="1"/>
        <v>1</v>
      </c>
      <c r="F29">
        <f t="shared" si="2"/>
        <v>0</v>
      </c>
      <c r="G29">
        <f t="shared" si="3"/>
        <v>46964.630444964867</v>
      </c>
    </row>
    <row r="30" spans="1:24" x14ac:dyDescent="0.35">
      <c r="A30" s="2">
        <v>43373</v>
      </c>
      <c r="B30" s="3">
        <v>56576</v>
      </c>
      <c r="C30">
        <v>29</v>
      </c>
      <c r="D30">
        <f t="shared" si="0"/>
        <v>0</v>
      </c>
      <c r="E30">
        <f t="shared" si="1"/>
        <v>0</v>
      </c>
      <c r="F30">
        <f t="shared" si="2"/>
        <v>1</v>
      </c>
      <c r="G30">
        <f t="shared" si="3"/>
        <v>50333.860519125687</v>
      </c>
    </row>
    <row r="31" spans="1:24" x14ac:dyDescent="0.35">
      <c r="A31" s="2">
        <v>43465</v>
      </c>
      <c r="B31" s="3">
        <v>72383</v>
      </c>
      <c r="C31">
        <v>30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60659.949544626594</v>
      </c>
    </row>
    <row r="32" spans="1:24" x14ac:dyDescent="0.35">
      <c r="A32" s="2">
        <v>43466</v>
      </c>
      <c r="B32" s="3">
        <v>59700</v>
      </c>
      <c r="C32">
        <v>31</v>
      </c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62284.287795992714</v>
      </c>
    </row>
    <row r="33" spans="1:7" x14ac:dyDescent="0.35">
      <c r="A33" s="2">
        <v>42825</v>
      </c>
      <c r="B33" s="3">
        <v>70382.972222222204</v>
      </c>
      <c r="C33">
        <v>32</v>
      </c>
      <c r="D33">
        <f t="shared" si="0"/>
        <v>1</v>
      </c>
      <c r="E33">
        <f t="shared" ref="E33:E46" si="4">IF(MONTH(A33)=6,1,0)</f>
        <v>0</v>
      </c>
      <c r="F33">
        <f t="shared" ref="F33:F46" si="5">IF(MONTH(A33)=9,1,0)</f>
        <v>0</v>
      </c>
      <c r="G33">
        <f t="shared" ref="G33:G46" si="6">$Q$24+$Q$25*C33+$Q$26*D33+$Q$27*E33+$Q$28*F33</f>
        <v>54413.321701795474</v>
      </c>
    </row>
    <row r="34" spans="1:7" x14ac:dyDescent="0.35">
      <c r="A34" s="2">
        <v>42916</v>
      </c>
      <c r="B34" s="3">
        <v>74005.055555555504</v>
      </c>
      <c r="C34">
        <v>33</v>
      </c>
      <c r="D34">
        <f t="shared" si="0"/>
        <v>0</v>
      </c>
      <c r="E34">
        <f t="shared" si="4"/>
        <v>1</v>
      </c>
      <c r="F34">
        <f t="shared" si="5"/>
        <v>0</v>
      </c>
      <c r="G34">
        <f t="shared" si="6"/>
        <v>55086.321701795467</v>
      </c>
    </row>
    <row r="35" spans="1:7" x14ac:dyDescent="0.35">
      <c r="A35" s="2">
        <v>43008</v>
      </c>
      <c r="B35" s="3">
        <v>77627.138888888905</v>
      </c>
      <c r="C35">
        <v>34</v>
      </c>
      <c r="D35">
        <f t="shared" si="0"/>
        <v>0</v>
      </c>
      <c r="E35">
        <f t="shared" si="4"/>
        <v>0</v>
      </c>
      <c r="F35">
        <f t="shared" si="5"/>
        <v>1</v>
      </c>
      <c r="G35">
        <f t="shared" si="6"/>
        <v>58455.551775956286</v>
      </c>
    </row>
    <row r="36" spans="1:7" x14ac:dyDescent="0.35">
      <c r="A36" s="2">
        <v>43100</v>
      </c>
      <c r="B36" s="3">
        <v>81249.222222222204</v>
      </c>
      <c r="C36">
        <v>35</v>
      </c>
      <c r="D36">
        <f t="shared" si="0"/>
        <v>0</v>
      </c>
      <c r="E36">
        <f t="shared" si="4"/>
        <v>0</v>
      </c>
      <c r="F36">
        <f t="shared" si="5"/>
        <v>0</v>
      </c>
      <c r="G36">
        <f t="shared" si="6"/>
        <v>68781.640801457193</v>
      </c>
    </row>
    <row r="37" spans="1:7" x14ac:dyDescent="0.35">
      <c r="A37" s="2">
        <v>43190</v>
      </c>
      <c r="B37" s="3">
        <v>84871.305555555504</v>
      </c>
      <c r="C37">
        <v>36</v>
      </c>
      <c r="D37">
        <f t="shared" si="0"/>
        <v>1</v>
      </c>
      <c r="E37">
        <f t="shared" si="4"/>
        <v>0</v>
      </c>
      <c r="F37">
        <f t="shared" si="5"/>
        <v>0</v>
      </c>
      <c r="G37">
        <f t="shared" si="6"/>
        <v>60910.674707259954</v>
      </c>
    </row>
    <row r="38" spans="1:7" x14ac:dyDescent="0.35">
      <c r="A38" s="2">
        <v>43281</v>
      </c>
      <c r="B38" s="3">
        <v>88493.388888888905</v>
      </c>
      <c r="C38">
        <v>37</v>
      </c>
      <c r="D38">
        <f t="shared" si="0"/>
        <v>0</v>
      </c>
      <c r="E38">
        <f t="shared" si="4"/>
        <v>1</v>
      </c>
      <c r="F38">
        <f t="shared" si="5"/>
        <v>0</v>
      </c>
      <c r="G38">
        <f t="shared" si="6"/>
        <v>61583.674707259946</v>
      </c>
    </row>
    <row r="39" spans="1:7" x14ac:dyDescent="0.35">
      <c r="A39" s="2">
        <v>43373</v>
      </c>
      <c r="B39" s="3">
        <v>92115.472222222204</v>
      </c>
      <c r="C39">
        <v>38</v>
      </c>
      <c r="D39">
        <f t="shared" si="0"/>
        <v>0</v>
      </c>
      <c r="E39">
        <f t="shared" si="4"/>
        <v>0</v>
      </c>
      <c r="F39">
        <f t="shared" si="5"/>
        <v>1</v>
      </c>
      <c r="G39">
        <f t="shared" si="6"/>
        <v>64952.904781420766</v>
      </c>
    </row>
    <row r="40" spans="1:7" x14ac:dyDescent="0.35">
      <c r="A40" s="2">
        <v>43465</v>
      </c>
      <c r="B40" s="3">
        <v>95737.555555555504</v>
      </c>
      <c r="C40">
        <v>39</v>
      </c>
      <c r="D40">
        <f t="shared" si="0"/>
        <v>0</v>
      </c>
      <c r="E40">
        <f t="shared" si="4"/>
        <v>0</v>
      </c>
      <c r="F40">
        <f t="shared" si="5"/>
        <v>0</v>
      </c>
      <c r="G40">
        <f t="shared" si="6"/>
        <v>75278.993806921673</v>
      </c>
    </row>
    <row r="41" spans="1:7" x14ac:dyDescent="0.35">
      <c r="A41" s="2">
        <v>43466</v>
      </c>
      <c r="B41" s="3">
        <v>99359.638888888905</v>
      </c>
      <c r="C41">
        <v>40</v>
      </c>
      <c r="D41">
        <f t="shared" si="0"/>
        <v>0</v>
      </c>
      <c r="E41">
        <f t="shared" si="4"/>
        <v>0</v>
      </c>
      <c r="F41">
        <f t="shared" si="5"/>
        <v>0</v>
      </c>
      <c r="G41">
        <f t="shared" si="6"/>
        <v>76903.332058287793</v>
      </c>
    </row>
    <row r="42" spans="1:7" x14ac:dyDescent="0.35">
      <c r="A42" s="2">
        <v>42825</v>
      </c>
      <c r="B42" s="3">
        <v>102981.722222222</v>
      </c>
      <c r="C42">
        <v>41</v>
      </c>
      <c r="D42">
        <f t="shared" si="0"/>
        <v>1</v>
      </c>
      <c r="E42">
        <f t="shared" si="4"/>
        <v>0</v>
      </c>
      <c r="F42">
        <f t="shared" si="5"/>
        <v>0</v>
      </c>
      <c r="G42">
        <f t="shared" si="6"/>
        <v>69032.365964090568</v>
      </c>
    </row>
    <row r="43" spans="1:7" x14ac:dyDescent="0.35">
      <c r="A43" s="2">
        <v>42916</v>
      </c>
      <c r="B43" s="3">
        <v>106603.805555556</v>
      </c>
      <c r="C43">
        <v>42</v>
      </c>
      <c r="D43">
        <f t="shared" si="0"/>
        <v>0</v>
      </c>
      <c r="E43">
        <f t="shared" si="4"/>
        <v>1</v>
      </c>
      <c r="F43">
        <f t="shared" si="5"/>
        <v>0</v>
      </c>
      <c r="G43">
        <f t="shared" si="6"/>
        <v>69705.365964090568</v>
      </c>
    </row>
    <row r="44" spans="1:7" x14ac:dyDescent="0.35">
      <c r="A44" s="2">
        <v>43008</v>
      </c>
      <c r="B44" s="3">
        <v>110225.88888888901</v>
      </c>
      <c r="C44">
        <v>43</v>
      </c>
      <c r="D44">
        <f t="shared" si="0"/>
        <v>0</v>
      </c>
      <c r="E44">
        <f t="shared" si="4"/>
        <v>0</v>
      </c>
      <c r="F44">
        <f t="shared" si="5"/>
        <v>1</v>
      </c>
      <c r="G44">
        <f t="shared" si="6"/>
        <v>73074.596038251388</v>
      </c>
    </row>
    <row r="45" spans="1:7" x14ac:dyDescent="0.35">
      <c r="A45" s="2">
        <v>43100</v>
      </c>
      <c r="B45" s="3">
        <v>113847.972222222</v>
      </c>
      <c r="C45">
        <v>44</v>
      </c>
      <c r="D45">
        <f t="shared" si="0"/>
        <v>0</v>
      </c>
      <c r="E45">
        <f t="shared" si="4"/>
        <v>0</v>
      </c>
      <c r="F45">
        <f t="shared" si="5"/>
        <v>0</v>
      </c>
      <c r="G45">
        <f t="shared" si="6"/>
        <v>83400.685063752288</v>
      </c>
    </row>
    <row r="46" spans="1:7" x14ac:dyDescent="0.35">
      <c r="A46" s="2">
        <v>43190</v>
      </c>
      <c r="B46" s="3">
        <v>117470.055555556</v>
      </c>
      <c r="C46">
        <v>45</v>
      </c>
      <c r="D46">
        <f t="shared" si="0"/>
        <v>1</v>
      </c>
      <c r="E46">
        <f t="shared" si="4"/>
        <v>0</v>
      </c>
      <c r="F46">
        <f t="shared" si="5"/>
        <v>0</v>
      </c>
      <c r="G46">
        <f t="shared" si="6"/>
        <v>75529.718969555048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SES</vt:lpstr>
      <vt:lpstr>HLES</vt:lpstr>
      <vt:lpstr>HWas</vt:lpstr>
      <vt:lpstr>Sheet7</vt:lpstr>
      <vt:lpstr>Sheet11</vt:lpstr>
      <vt:lpstr>simple regression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Meng</dc:creator>
  <cp:lastModifiedBy>Siva Sankari Ravipati</cp:lastModifiedBy>
  <dcterms:created xsi:type="dcterms:W3CDTF">2015-06-05T18:17:20Z</dcterms:created>
  <dcterms:modified xsi:type="dcterms:W3CDTF">2023-09-07T22:49:37Z</dcterms:modified>
</cp:coreProperties>
</file>